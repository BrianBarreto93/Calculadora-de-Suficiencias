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ownloads\Suficiencia\"/>
    </mc:Choice>
  </mc:AlternateContent>
  <xr:revisionPtr revIDLastSave="0" documentId="13_ncr:1_{20C212B4-2572-47B9-A04A-D008552C05A0}" xr6:coauthVersionLast="47" xr6:coauthVersionMax="47" xr10:uidLastSave="{00000000-0000-0000-0000-000000000000}"/>
  <bookViews>
    <workbookView xWindow="2820" yWindow="2820" windowWidth="17280" windowHeight="8964" xr2:uid="{7C6F3926-99F4-41DF-8C6C-18892B538A9E}"/>
  </bookViews>
  <sheets>
    <sheet name="Guia" sheetId="1" r:id="rId1"/>
    <sheet name="Resumen" sheetId="2" r:id="rId2"/>
    <sheet name="IND01_Churn" sheetId="3" r:id="rId3"/>
    <sheet name="IND02_Instalaciones" sheetId="4" r:id="rId4"/>
    <sheet name="IND_PLANTILLA" sheetId="5" r:id="rId5"/>
    <sheet name="Parametros" sheetId="6" r:id="rId6"/>
  </sheets>
  <definedNames>
    <definedName name="Cobertura_Atrib_Min">Parametros!$C$13</definedName>
    <definedName name="Cobertura_Resuelto_Min">Parametros!$C$14</definedName>
    <definedName name="Res_Cat">OFFSET(Resumen!$C$6,0,0,MAX(1,COUNTIF(Resumen!$B$6:$B$15,"?*")),1)</definedName>
    <definedName name="Res_Plan">OFFSET(Resumen!$K$6,0,0,MAX(1,COUNTIF(Resumen!$B$6:$B$15,"?*")),1)</definedName>
    <definedName name="Res_Real">OFFSET(Resumen!$L$6,0,0,MAX(1,COUNTIF(Resumen!$B$6:$B$15,"?*")),1)</definedName>
    <definedName name="Res_Ref">OFFSET(Resumen!$Q$6,0,0,MAX(1,COUNTIF(Resumen!$B$6:$B$15,"?*")),1)</definedName>
    <definedName name="Semaforo_Color">Parametros!$C$6:$C$8</definedName>
    <definedName name="Semaforo_Desde">Parametros!$B$6:$B$8</definedName>
    <definedName name="Tope_Efectividad">Parametros!$C$15</definedName>
    <definedName name="Umbral_Reemplazar">Parametros!$C$12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G32" i="1"/>
  <c r="F31" i="1"/>
  <c r="F32" i="1"/>
  <c r="Q6" i="2"/>
  <c r="Q7" i="2"/>
  <c r="Q8" i="2"/>
  <c r="Q9" i="2"/>
  <c r="Q10" i="2"/>
  <c r="Q11" i="2"/>
  <c r="Q12" i="2"/>
  <c r="Q13" i="2"/>
  <c r="Q14" i="2"/>
  <c r="Q15" i="2"/>
  <c r="P8" i="2"/>
  <c r="P9" i="2"/>
  <c r="P10" i="2"/>
  <c r="P11" i="2"/>
  <c r="P12" i="2"/>
  <c r="P13" i="2"/>
  <c r="P14" i="2"/>
  <c r="P15" i="2"/>
  <c r="O8" i="2"/>
  <c r="O9" i="2"/>
  <c r="O10" i="2"/>
  <c r="O11" i="2"/>
  <c r="O12" i="2"/>
  <c r="O13" i="2"/>
  <c r="O14" i="2"/>
  <c r="O15" i="2"/>
  <c r="N8" i="2"/>
  <c r="N9" i="2"/>
  <c r="N10" i="2"/>
  <c r="N11" i="2"/>
  <c r="N12" i="2"/>
  <c r="N13" i="2"/>
  <c r="N14" i="2"/>
  <c r="N15" i="2"/>
  <c r="J8" i="2"/>
  <c r="J9" i="2"/>
  <c r="J10" i="2"/>
  <c r="J11" i="2"/>
  <c r="J12" i="2"/>
  <c r="J13" i="2"/>
  <c r="J14" i="2"/>
  <c r="J15" i="2"/>
  <c r="L8" i="2"/>
  <c r="L9" i="2"/>
  <c r="L10" i="2"/>
  <c r="L11" i="2"/>
  <c r="L12" i="2"/>
  <c r="L13" i="2"/>
  <c r="L14" i="2"/>
  <c r="L15" i="2"/>
  <c r="H8" i="2"/>
  <c r="H9" i="2"/>
  <c r="H10" i="2"/>
  <c r="H11" i="2"/>
  <c r="H12" i="2"/>
  <c r="H13" i="2"/>
  <c r="H14" i="2"/>
  <c r="H15" i="2"/>
  <c r="K8" i="2"/>
  <c r="K9" i="2"/>
  <c r="K10" i="2"/>
  <c r="K11" i="2"/>
  <c r="K12" i="2"/>
  <c r="K13" i="2"/>
  <c r="K14" i="2"/>
  <c r="K15" i="2"/>
  <c r="I8" i="2"/>
  <c r="I9" i="2"/>
  <c r="I10" i="2"/>
  <c r="I11" i="2"/>
  <c r="I12" i="2"/>
  <c r="I13" i="2"/>
  <c r="I14" i="2"/>
  <c r="I15" i="2"/>
  <c r="F8" i="2"/>
  <c r="F9" i="2"/>
  <c r="F10" i="2"/>
  <c r="F11" i="2"/>
  <c r="F12" i="2"/>
  <c r="F13" i="2"/>
  <c r="F14" i="2"/>
  <c r="F15" i="2"/>
  <c r="G8" i="2"/>
  <c r="G9" i="2"/>
  <c r="G10" i="2"/>
  <c r="G11" i="2"/>
  <c r="G12" i="2"/>
  <c r="G13" i="2"/>
  <c r="G14" i="2"/>
  <c r="G15" i="2"/>
  <c r="D8" i="2"/>
  <c r="D9" i="2"/>
  <c r="D10" i="2"/>
  <c r="D11" i="2"/>
  <c r="D12" i="2"/>
  <c r="D13" i="2"/>
  <c r="D14" i="2"/>
  <c r="D15" i="2"/>
  <c r="E8" i="2"/>
  <c r="E9" i="2"/>
  <c r="E10" i="2"/>
  <c r="E11" i="2"/>
  <c r="E12" i="2"/>
  <c r="E13" i="2"/>
  <c r="E14" i="2"/>
  <c r="E15" i="2"/>
  <c r="M8" i="2"/>
  <c r="M9" i="2"/>
  <c r="M10" i="2"/>
  <c r="M11" i="2"/>
  <c r="M12" i="2"/>
  <c r="M13" i="2"/>
  <c r="M14" i="2"/>
  <c r="M15" i="2"/>
  <c r="C8" i="2"/>
  <c r="C9" i="2"/>
  <c r="C10" i="2"/>
  <c r="C11" i="2"/>
  <c r="C12" i="2"/>
  <c r="C13" i="2"/>
  <c r="C14" i="2"/>
  <c r="C15" i="2"/>
  <c r="C131" i="5"/>
  <c r="C130" i="5"/>
  <c r="C127" i="5"/>
  <c r="C124" i="5"/>
  <c r="M104" i="5"/>
  <c r="M105" i="5"/>
  <c r="M106" i="5"/>
  <c r="M107" i="5"/>
  <c r="C117" i="5" s="1"/>
  <c r="M108" i="5"/>
  <c r="M109" i="5"/>
  <c r="M110" i="5"/>
  <c r="M111" i="5"/>
  <c r="B104" i="5"/>
  <c r="B105" i="5"/>
  <c r="B106" i="5"/>
  <c r="B107" i="5"/>
  <c r="B108" i="5"/>
  <c r="B109" i="5"/>
  <c r="B110" i="5"/>
  <c r="B111" i="5"/>
  <c r="C103" i="5"/>
  <c r="D103" i="5"/>
  <c r="E103" i="5"/>
  <c r="F103" i="5"/>
  <c r="G103" i="5"/>
  <c r="H103" i="5"/>
  <c r="C92" i="5"/>
  <c r="D92" i="5"/>
  <c r="E92" i="5"/>
  <c r="F92" i="5"/>
  <c r="G92" i="5"/>
  <c r="H92" i="5"/>
  <c r="C93" i="5"/>
  <c r="D93" i="5"/>
  <c r="E93" i="5"/>
  <c r="F93" i="5"/>
  <c r="G93" i="5"/>
  <c r="H93" i="5"/>
  <c r="C94" i="5"/>
  <c r="D94" i="5"/>
  <c r="E94" i="5"/>
  <c r="F94" i="5"/>
  <c r="G94" i="5"/>
  <c r="H94" i="5"/>
  <c r="C95" i="5"/>
  <c r="D95" i="5"/>
  <c r="E95" i="5"/>
  <c r="F95" i="5"/>
  <c r="G95" i="5"/>
  <c r="H95" i="5"/>
  <c r="C96" i="5"/>
  <c r="D96" i="5"/>
  <c r="E96" i="5"/>
  <c r="F96" i="5"/>
  <c r="G96" i="5"/>
  <c r="H96" i="5"/>
  <c r="C97" i="5"/>
  <c r="D97" i="5"/>
  <c r="E97" i="5"/>
  <c r="F97" i="5"/>
  <c r="G97" i="5"/>
  <c r="H97" i="5"/>
  <c r="C98" i="5"/>
  <c r="D98" i="5"/>
  <c r="E98" i="5"/>
  <c r="F98" i="5"/>
  <c r="G98" i="5"/>
  <c r="H98" i="5"/>
  <c r="C99" i="5"/>
  <c r="D99" i="5"/>
  <c r="E99" i="5"/>
  <c r="F99" i="5"/>
  <c r="G99" i="5"/>
  <c r="H99" i="5"/>
  <c r="B92" i="5"/>
  <c r="B93" i="5"/>
  <c r="B94" i="5"/>
  <c r="B95" i="5"/>
  <c r="B96" i="5"/>
  <c r="B97" i="5"/>
  <c r="B98" i="5"/>
  <c r="B99" i="5"/>
  <c r="C91" i="5"/>
  <c r="D91" i="5"/>
  <c r="E91" i="5"/>
  <c r="F91" i="5"/>
  <c r="G91" i="5"/>
  <c r="H91" i="5"/>
  <c r="C80" i="5"/>
  <c r="D80" i="5"/>
  <c r="E80" i="5"/>
  <c r="F80" i="5"/>
  <c r="G80" i="5"/>
  <c r="H80" i="5"/>
  <c r="C81" i="5"/>
  <c r="D81" i="5"/>
  <c r="E81" i="5"/>
  <c r="F81" i="5"/>
  <c r="G81" i="5"/>
  <c r="H81" i="5"/>
  <c r="C82" i="5"/>
  <c r="D82" i="5"/>
  <c r="E82" i="5"/>
  <c r="F82" i="5"/>
  <c r="G82" i="5"/>
  <c r="H82" i="5"/>
  <c r="C83" i="5"/>
  <c r="D83" i="5"/>
  <c r="E83" i="5"/>
  <c r="F83" i="5"/>
  <c r="G83" i="5"/>
  <c r="H83" i="5"/>
  <c r="C84" i="5"/>
  <c r="D84" i="5"/>
  <c r="E84" i="5"/>
  <c r="F84" i="5"/>
  <c r="G84" i="5"/>
  <c r="H84" i="5"/>
  <c r="C85" i="5"/>
  <c r="D85" i="5"/>
  <c r="E85" i="5"/>
  <c r="F85" i="5"/>
  <c r="G85" i="5"/>
  <c r="H85" i="5"/>
  <c r="C86" i="5"/>
  <c r="D86" i="5"/>
  <c r="E86" i="5"/>
  <c r="F86" i="5"/>
  <c r="G86" i="5"/>
  <c r="H86" i="5"/>
  <c r="C87" i="5"/>
  <c r="D87" i="5"/>
  <c r="E87" i="5"/>
  <c r="F87" i="5"/>
  <c r="G87" i="5"/>
  <c r="H87" i="5"/>
  <c r="B80" i="5"/>
  <c r="B81" i="5"/>
  <c r="B82" i="5"/>
  <c r="B83" i="5"/>
  <c r="B84" i="5"/>
  <c r="B85" i="5"/>
  <c r="B86" i="5"/>
  <c r="B87" i="5"/>
  <c r="C79" i="5"/>
  <c r="D79" i="5"/>
  <c r="E79" i="5"/>
  <c r="F79" i="5"/>
  <c r="G79" i="5"/>
  <c r="H79" i="5"/>
  <c r="G58" i="5"/>
  <c r="G59" i="5"/>
  <c r="G60" i="5"/>
  <c r="G61" i="5"/>
  <c r="G62" i="5"/>
  <c r="G63" i="5"/>
  <c r="G64" i="5"/>
  <c r="G65" i="5"/>
  <c r="F58" i="5"/>
  <c r="F59" i="5"/>
  <c r="F60" i="5"/>
  <c r="F61" i="5"/>
  <c r="F62" i="5"/>
  <c r="F63" i="5"/>
  <c r="F64" i="5"/>
  <c r="F65" i="5"/>
  <c r="E58" i="5"/>
  <c r="E59" i="5"/>
  <c r="E60" i="5"/>
  <c r="E61" i="5"/>
  <c r="E62" i="5"/>
  <c r="E63" i="5"/>
  <c r="E64" i="5"/>
  <c r="E65" i="5"/>
  <c r="D58" i="5"/>
  <c r="D59" i="5"/>
  <c r="D60" i="5"/>
  <c r="D61" i="5"/>
  <c r="D62" i="5"/>
  <c r="D63" i="5"/>
  <c r="D64" i="5"/>
  <c r="D65" i="5"/>
  <c r="C58" i="5"/>
  <c r="C59" i="5"/>
  <c r="C60" i="5"/>
  <c r="C61" i="5"/>
  <c r="C62" i="5"/>
  <c r="C63" i="5"/>
  <c r="C64" i="5"/>
  <c r="C65" i="5"/>
  <c r="B58" i="5"/>
  <c r="B59" i="5"/>
  <c r="B60" i="5"/>
  <c r="B61" i="5"/>
  <c r="B62" i="5"/>
  <c r="B63" i="5"/>
  <c r="B64" i="5"/>
  <c r="B65" i="5"/>
  <c r="C55" i="5"/>
  <c r="D55" i="5"/>
  <c r="E55" i="5"/>
  <c r="F55" i="5"/>
  <c r="G55" i="5"/>
  <c r="H55" i="5"/>
  <c r="C49" i="5"/>
  <c r="D49" i="5"/>
  <c r="E49" i="5"/>
  <c r="F49" i="5"/>
  <c r="G49" i="5"/>
  <c r="H49" i="5"/>
  <c r="C47" i="5"/>
  <c r="E45" i="5"/>
  <c r="E44" i="5"/>
  <c r="E41" i="5"/>
  <c r="C44" i="5"/>
  <c r="C126" i="5" s="1"/>
  <c r="D44" i="5"/>
  <c r="C125" i="5" s="1"/>
  <c r="C43" i="5"/>
  <c r="D43" i="5"/>
  <c r="C37" i="5"/>
  <c r="N29" i="5"/>
  <c r="N30" i="5"/>
  <c r="N31" i="5"/>
  <c r="N32" i="5"/>
  <c r="N33" i="5"/>
  <c r="N34" i="5"/>
  <c r="N35" i="5"/>
  <c r="N36" i="5"/>
  <c r="C28" i="5"/>
  <c r="D28" i="5"/>
  <c r="E28" i="5"/>
  <c r="F28" i="5"/>
  <c r="G28" i="5"/>
  <c r="H28" i="5"/>
  <c r="C19" i="5"/>
  <c r="D19" i="5"/>
  <c r="E19" i="5"/>
  <c r="F19" i="5"/>
  <c r="G19" i="5"/>
  <c r="H19" i="5"/>
  <c r="C12" i="5"/>
  <c r="L106" i="5" s="1"/>
  <c r="C11" i="5"/>
  <c r="E8" i="5"/>
  <c r="E6" i="5"/>
  <c r="D11" i="5"/>
  <c r="D12" i="5"/>
  <c r="D8" i="5"/>
  <c r="D9" i="5"/>
  <c r="D10" i="5"/>
  <c r="A1" i="5"/>
  <c r="C131" i="4"/>
  <c r="C130" i="4"/>
  <c r="D11" i="4" s="1"/>
  <c r="C127" i="4"/>
  <c r="C124" i="4"/>
  <c r="M108" i="4"/>
  <c r="M109" i="4"/>
  <c r="M110" i="4"/>
  <c r="M111" i="4"/>
  <c r="B104" i="4"/>
  <c r="B105" i="4"/>
  <c r="B106" i="4"/>
  <c r="B107" i="4"/>
  <c r="B108" i="4"/>
  <c r="B109" i="4"/>
  <c r="B110" i="4"/>
  <c r="B111" i="4"/>
  <c r="C103" i="4"/>
  <c r="D103" i="4"/>
  <c r="E103" i="4"/>
  <c r="F103" i="4"/>
  <c r="G103" i="4"/>
  <c r="H103" i="4"/>
  <c r="C92" i="4"/>
  <c r="D92" i="4"/>
  <c r="E92" i="4"/>
  <c r="F92" i="4"/>
  <c r="G92" i="4"/>
  <c r="H92" i="4"/>
  <c r="C93" i="4"/>
  <c r="D93" i="4"/>
  <c r="E93" i="4"/>
  <c r="F93" i="4"/>
  <c r="G93" i="4"/>
  <c r="H93" i="4"/>
  <c r="C94" i="4"/>
  <c r="D94" i="4"/>
  <c r="E94" i="4"/>
  <c r="F94" i="4"/>
  <c r="G94" i="4"/>
  <c r="H94" i="4"/>
  <c r="C95" i="4"/>
  <c r="D95" i="4"/>
  <c r="E95" i="4"/>
  <c r="F95" i="4"/>
  <c r="G95" i="4"/>
  <c r="H95" i="4"/>
  <c r="C96" i="4"/>
  <c r="D96" i="4"/>
  <c r="E96" i="4"/>
  <c r="F96" i="4"/>
  <c r="G96" i="4"/>
  <c r="H96" i="4"/>
  <c r="C97" i="4"/>
  <c r="D97" i="4"/>
  <c r="E97" i="4"/>
  <c r="F97" i="4"/>
  <c r="G97" i="4"/>
  <c r="H97" i="4"/>
  <c r="C98" i="4"/>
  <c r="D98" i="4"/>
  <c r="E98" i="4"/>
  <c r="F98" i="4"/>
  <c r="G98" i="4"/>
  <c r="H98" i="4"/>
  <c r="C99" i="4"/>
  <c r="D99" i="4"/>
  <c r="E99" i="4"/>
  <c r="F99" i="4"/>
  <c r="G99" i="4"/>
  <c r="H99" i="4"/>
  <c r="B92" i="4"/>
  <c r="B93" i="4"/>
  <c r="B94" i="4"/>
  <c r="B95" i="4"/>
  <c r="B96" i="4"/>
  <c r="B97" i="4"/>
  <c r="B98" i="4"/>
  <c r="B99" i="4"/>
  <c r="C91" i="4"/>
  <c r="D91" i="4"/>
  <c r="E91" i="4"/>
  <c r="F91" i="4"/>
  <c r="G91" i="4"/>
  <c r="H91" i="4"/>
  <c r="C80" i="4"/>
  <c r="D80" i="4"/>
  <c r="E80" i="4"/>
  <c r="F80" i="4"/>
  <c r="G80" i="4"/>
  <c r="H80" i="4"/>
  <c r="C81" i="4"/>
  <c r="D81" i="4"/>
  <c r="E81" i="4"/>
  <c r="F81" i="4"/>
  <c r="G81" i="4"/>
  <c r="H81" i="4"/>
  <c r="C82" i="4"/>
  <c r="D82" i="4"/>
  <c r="E82" i="4"/>
  <c r="F82" i="4"/>
  <c r="G82" i="4"/>
  <c r="H82" i="4"/>
  <c r="C83" i="4"/>
  <c r="D83" i="4"/>
  <c r="E83" i="4"/>
  <c r="F83" i="4"/>
  <c r="G83" i="4"/>
  <c r="H83" i="4"/>
  <c r="C84" i="4"/>
  <c r="D84" i="4"/>
  <c r="E84" i="4"/>
  <c r="F84" i="4"/>
  <c r="G84" i="4"/>
  <c r="H84" i="4"/>
  <c r="C85" i="4"/>
  <c r="D85" i="4"/>
  <c r="E85" i="4"/>
  <c r="F85" i="4"/>
  <c r="G85" i="4"/>
  <c r="H85" i="4"/>
  <c r="C86" i="4"/>
  <c r="D86" i="4"/>
  <c r="E86" i="4"/>
  <c r="F86" i="4"/>
  <c r="G86" i="4"/>
  <c r="H86" i="4"/>
  <c r="C87" i="4"/>
  <c r="D87" i="4"/>
  <c r="E87" i="4"/>
  <c r="F87" i="4"/>
  <c r="G87" i="4"/>
  <c r="H87" i="4"/>
  <c r="B80" i="4"/>
  <c r="B81" i="4"/>
  <c r="B82" i="4"/>
  <c r="B83" i="4"/>
  <c r="B84" i="4"/>
  <c r="B85" i="4"/>
  <c r="B86" i="4"/>
  <c r="B87" i="4"/>
  <c r="C79" i="4"/>
  <c r="D79" i="4"/>
  <c r="E79" i="4"/>
  <c r="F79" i="4"/>
  <c r="G79" i="4"/>
  <c r="H79" i="4"/>
  <c r="G62" i="4"/>
  <c r="G63" i="4"/>
  <c r="G64" i="4"/>
  <c r="G65" i="4"/>
  <c r="F62" i="4"/>
  <c r="F63" i="4"/>
  <c r="F64" i="4"/>
  <c r="F65" i="4"/>
  <c r="E62" i="4"/>
  <c r="E63" i="4"/>
  <c r="E64" i="4"/>
  <c r="E65" i="4"/>
  <c r="D62" i="4"/>
  <c r="D63" i="4"/>
  <c r="D64" i="4"/>
  <c r="D65" i="4"/>
  <c r="C62" i="4"/>
  <c r="C63" i="4"/>
  <c r="C64" i="4"/>
  <c r="C65" i="4"/>
  <c r="B58" i="4"/>
  <c r="B59" i="4"/>
  <c r="B60" i="4"/>
  <c r="B61" i="4"/>
  <c r="B62" i="4"/>
  <c r="B63" i="4"/>
  <c r="B64" i="4"/>
  <c r="B65" i="4"/>
  <c r="G55" i="4"/>
  <c r="H55" i="4"/>
  <c r="C49" i="4"/>
  <c r="D49" i="4"/>
  <c r="E49" i="4"/>
  <c r="F49" i="4"/>
  <c r="G49" i="4"/>
  <c r="H49" i="4"/>
  <c r="E44" i="4"/>
  <c r="E41" i="4"/>
  <c r="N29" i="4"/>
  <c r="N30" i="4"/>
  <c r="N31" i="4"/>
  <c r="C37" i="4" s="1"/>
  <c r="N32" i="4"/>
  <c r="N33" i="4"/>
  <c r="N34" i="4"/>
  <c r="N35" i="4"/>
  <c r="N36" i="4"/>
  <c r="C28" i="4"/>
  <c r="D28" i="4"/>
  <c r="E28" i="4"/>
  <c r="F28" i="4"/>
  <c r="G28" i="4"/>
  <c r="H28" i="4"/>
  <c r="D20" i="4"/>
  <c r="D22" i="4" s="1"/>
  <c r="D50" i="4" s="1"/>
  <c r="C19" i="4"/>
  <c r="D19" i="4"/>
  <c r="E19" i="4"/>
  <c r="F19" i="4"/>
  <c r="G19" i="4"/>
  <c r="H19" i="4"/>
  <c r="C12" i="4"/>
  <c r="C11" i="4"/>
  <c r="E8" i="4"/>
  <c r="E6" i="4"/>
  <c r="D12" i="4"/>
  <c r="D8" i="4"/>
  <c r="D9" i="4"/>
  <c r="D10" i="4"/>
  <c r="A1" i="4"/>
  <c r="C131" i="3"/>
  <c r="C11" i="3" s="1"/>
  <c r="C130" i="3"/>
  <c r="C127" i="3"/>
  <c r="C124" i="3"/>
  <c r="M109" i="3"/>
  <c r="M110" i="3"/>
  <c r="M111" i="3"/>
  <c r="B104" i="3"/>
  <c r="B105" i="3"/>
  <c r="B106" i="3"/>
  <c r="B107" i="3"/>
  <c r="B108" i="3"/>
  <c r="B109" i="3"/>
  <c r="B110" i="3"/>
  <c r="B111" i="3"/>
  <c r="C103" i="3"/>
  <c r="D103" i="3"/>
  <c r="E103" i="3"/>
  <c r="F103" i="3"/>
  <c r="G103" i="3"/>
  <c r="H103" i="3"/>
  <c r="C92" i="3"/>
  <c r="D92" i="3"/>
  <c r="E92" i="3"/>
  <c r="F92" i="3"/>
  <c r="G92" i="3"/>
  <c r="H92" i="3"/>
  <c r="C93" i="3"/>
  <c r="D93" i="3"/>
  <c r="E93" i="3"/>
  <c r="F93" i="3"/>
  <c r="G93" i="3"/>
  <c r="H93" i="3"/>
  <c r="C94" i="3"/>
  <c r="D94" i="3"/>
  <c r="E94" i="3"/>
  <c r="F94" i="3"/>
  <c r="G94" i="3"/>
  <c r="H94" i="3"/>
  <c r="C95" i="3"/>
  <c r="D95" i="3"/>
  <c r="E95" i="3"/>
  <c r="F95" i="3"/>
  <c r="G95" i="3"/>
  <c r="H95" i="3"/>
  <c r="C96" i="3"/>
  <c r="D96" i="3"/>
  <c r="E96" i="3"/>
  <c r="F96" i="3"/>
  <c r="G96" i="3"/>
  <c r="H96" i="3"/>
  <c r="C97" i="3"/>
  <c r="D97" i="3"/>
  <c r="E97" i="3"/>
  <c r="F97" i="3"/>
  <c r="G97" i="3"/>
  <c r="H97" i="3"/>
  <c r="C98" i="3"/>
  <c r="D98" i="3"/>
  <c r="E98" i="3"/>
  <c r="F98" i="3"/>
  <c r="G98" i="3"/>
  <c r="H98" i="3"/>
  <c r="C99" i="3"/>
  <c r="D99" i="3"/>
  <c r="E99" i="3"/>
  <c r="F99" i="3"/>
  <c r="G99" i="3"/>
  <c r="H99" i="3"/>
  <c r="B92" i="3"/>
  <c r="B93" i="3"/>
  <c r="B94" i="3"/>
  <c r="B95" i="3"/>
  <c r="B96" i="3"/>
  <c r="B97" i="3"/>
  <c r="B98" i="3"/>
  <c r="B99" i="3"/>
  <c r="C91" i="3"/>
  <c r="D91" i="3"/>
  <c r="E91" i="3"/>
  <c r="F91" i="3"/>
  <c r="G91" i="3"/>
  <c r="H91" i="3"/>
  <c r="C80" i="3"/>
  <c r="D80" i="3"/>
  <c r="E80" i="3"/>
  <c r="F80" i="3"/>
  <c r="G80" i="3"/>
  <c r="H80" i="3"/>
  <c r="C81" i="3"/>
  <c r="D81" i="3"/>
  <c r="E81" i="3"/>
  <c r="F81" i="3"/>
  <c r="G81" i="3"/>
  <c r="H81" i="3"/>
  <c r="C82" i="3"/>
  <c r="D82" i="3"/>
  <c r="E82" i="3"/>
  <c r="F82" i="3"/>
  <c r="G82" i="3"/>
  <c r="H82" i="3"/>
  <c r="C83" i="3"/>
  <c r="D83" i="3"/>
  <c r="E83" i="3"/>
  <c r="F83" i="3"/>
  <c r="G83" i="3"/>
  <c r="H83" i="3"/>
  <c r="C84" i="3"/>
  <c r="D84" i="3"/>
  <c r="E84" i="3"/>
  <c r="F84" i="3"/>
  <c r="G84" i="3"/>
  <c r="H84" i="3"/>
  <c r="C85" i="3"/>
  <c r="D85" i="3"/>
  <c r="E85" i="3"/>
  <c r="F85" i="3"/>
  <c r="G85" i="3"/>
  <c r="H85" i="3"/>
  <c r="C86" i="3"/>
  <c r="D86" i="3"/>
  <c r="E86" i="3"/>
  <c r="F86" i="3"/>
  <c r="G86" i="3"/>
  <c r="H86" i="3"/>
  <c r="C87" i="3"/>
  <c r="D87" i="3"/>
  <c r="E87" i="3"/>
  <c r="F87" i="3"/>
  <c r="G87" i="3"/>
  <c r="H87" i="3"/>
  <c r="B80" i="3"/>
  <c r="B81" i="3"/>
  <c r="B82" i="3"/>
  <c r="B83" i="3"/>
  <c r="B84" i="3"/>
  <c r="B85" i="3"/>
  <c r="B86" i="3"/>
  <c r="B87" i="3"/>
  <c r="C79" i="3"/>
  <c r="D79" i="3"/>
  <c r="E79" i="3"/>
  <c r="F79" i="3"/>
  <c r="G79" i="3"/>
  <c r="H79" i="3"/>
  <c r="G63" i="3"/>
  <c r="G64" i="3"/>
  <c r="G65" i="3"/>
  <c r="F63" i="3"/>
  <c r="F64" i="3"/>
  <c r="F65" i="3"/>
  <c r="E63" i="3"/>
  <c r="E64" i="3"/>
  <c r="E65" i="3"/>
  <c r="D63" i="3"/>
  <c r="D64" i="3"/>
  <c r="D65" i="3"/>
  <c r="C63" i="3"/>
  <c r="C64" i="3"/>
  <c r="C65" i="3"/>
  <c r="B58" i="3"/>
  <c r="B59" i="3"/>
  <c r="B60" i="3"/>
  <c r="B61" i="3"/>
  <c r="B62" i="3"/>
  <c r="B63" i="3"/>
  <c r="B64" i="3"/>
  <c r="B65" i="3"/>
  <c r="H55" i="3"/>
  <c r="C49" i="3"/>
  <c r="D49" i="3"/>
  <c r="E49" i="3"/>
  <c r="F49" i="3"/>
  <c r="G49" i="3"/>
  <c r="H49" i="3"/>
  <c r="E45" i="3"/>
  <c r="E44" i="3"/>
  <c r="E41" i="3"/>
  <c r="N29" i="3"/>
  <c r="C37" i="3" s="1"/>
  <c r="N30" i="3"/>
  <c r="N31" i="3"/>
  <c r="N32" i="3"/>
  <c r="N33" i="3"/>
  <c r="N34" i="3"/>
  <c r="N35" i="3"/>
  <c r="N36" i="3"/>
  <c r="C28" i="3"/>
  <c r="D28" i="3"/>
  <c r="E28" i="3"/>
  <c r="F28" i="3"/>
  <c r="G28" i="3"/>
  <c r="H28" i="3"/>
  <c r="C19" i="3"/>
  <c r="D19" i="3"/>
  <c r="E19" i="3"/>
  <c r="F19" i="3"/>
  <c r="G19" i="3"/>
  <c r="H19" i="3"/>
  <c r="C12" i="3"/>
  <c r="E8" i="3"/>
  <c r="E6" i="3"/>
  <c r="D11" i="3"/>
  <c r="D12" i="3"/>
  <c r="D8" i="3"/>
  <c r="D9" i="3"/>
  <c r="D10" i="3"/>
  <c r="A1" i="3"/>
  <c r="E6" i="2"/>
  <c r="E7" i="2"/>
  <c r="F6" i="2"/>
  <c r="F7" i="2"/>
  <c r="G6" i="2"/>
  <c r="C6" i="2"/>
  <c r="G7" i="2"/>
  <c r="C7" i="2"/>
  <c r="D6" i="2"/>
  <c r="D37" i="2"/>
  <c r="D7" i="2"/>
  <c r="G88" i="3" l="1"/>
  <c r="G89" i="3" s="1"/>
  <c r="G51" i="3" s="1"/>
  <c r="H88" i="3"/>
  <c r="H89" i="3" s="1"/>
  <c r="H51" i="3" s="1"/>
  <c r="F20" i="3"/>
  <c r="F22" i="3" s="1"/>
  <c r="F50" i="3" s="1"/>
  <c r="E88" i="3"/>
  <c r="E89" i="3" s="1"/>
  <c r="E51" i="3" s="1"/>
  <c r="E45" i="4"/>
  <c r="F100" i="4"/>
  <c r="F108" i="4" s="1"/>
  <c r="D100" i="4"/>
  <c r="D107" i="4" s="1"/>
  <c r="D88" i="5"/>
  <c r="D89" i="5" s="1"/>
  <c r="D51" i="5" s="1"/>
  <c r="E88" i="4"/>
  <c r="E89" i="4" s="1"/>
  <c r="E51" i="4" s="1"/>
  <c r="C88" i="5"/>
  <c r="C89" i="5" s="1"/>
  <c r="C51" i="5" s="1"/>
  <c r="C100" i="5"/>
  <c r="C105" i="5" s="1"/>
  <c r="D88" i="4"/>
  <c r="D89" i="4" s="1"/>
  <c r="D51" i="4" s="1"/>
  <c r="H100" i="5"/>
  <c r="H111" i="5" s="1"/>
  <c r="C25" i="3"/>
  <c r="G20" i="3"/>
  <c r="G22" i="3" s="1"/>
  <c r="G50" i="3" s="1"/>
  <c r="G53" i="3" s="1"/>
  <c r="C88" i="4"/>
  <c r="C89" i="4" s="1"/>
  <c r="C51" i="4" s="1"/>
  <c r="C100" i="4"/>
  <c r="C109" i="4" s="1"/>
  <c r="H20" i="3"/>
  <c r="H22" i="3" s="1"/>
  <c r="H50" i="3" s="1"/>
  <c r="H53" i="3" s="1"/>
  <c r="H100" i="4"/>
  <c r="H107" i="4" s="1"/>
  <c r="D20" i="5"/>
  <c r="D22" i="5" s="1"/>
  <c r="D50" i="5" s="1"/>
  <c r="H88" i="5"/>
  <c r="H89" i="5" s="1"/>
  <c r="H51" i="5" s="1"/>
  <c r="H32" i="1"/>
  <c r="I32" i="1" s="1"/>
  <c r="J32" i="1" s="1"/>
  <c r="G100" i="4"/>
  <c r="G108" i="4" s="1"/>
  <c r="G88" i="5"/>
  <c r="G89" i="5" s="1"/>
  <c r="G51" i="5" s="1"/>
  <c r="G100" i="5"/>
  <c r="G111" i="5" s="1"/>
  <c r="E100" i="5"/>
  <c r="E110" i="5" s="1"/>
  <c r="C116" i="5"/>
  <c r="G70" i="5" s="1"/>
  <c r="F88" i="5"/>
  <c r="F89" i="5" s="1"/>
  <c r="F51" i="5" s="1"/>
  <c r="F100" i="5"/>
  <c r="F111" i="5" s="1"/>
  <c r="D100" i="5"/>
  <c r="D104" i="5" s="1"/>
  <c r="F88" i="3"/>
  <c r="F89" i="3" s="1"/>
  <c r="F51" i="3" s="1"/>
  <c r="F53" i="3" s="1"/>
  <c r="F100" i="3"/>
  <c r="G88" i="4"/>
  <c r="G89" i="4" s="1"/>
  <c r="G51" i="4" s="1"/>
  <c r="E100" i="4"/>
  <c r="E105" i="4" s="1"/>
  <c r="C25" i="5"/>
  <c r="C42" i="5"/>
  <c r="E88" i="5"/>
  <c r="E89" i="5" s="1"/>
  <c r="E51" i="5" s="1"/>
  <c r="D55" i="4"/>
  <c r="F107" i="3"/>
  <c r="F111" i="3"/>
  <c r="F106" i="3"/>
  <c r="F105" i="3"/>
  <c r="F109" i="3"/>
  <c r="F101" i="3"/>
  <c r="F52" i="3" s="1"/>
  <c r="F108" i="3"/>
  <c r="F110" i="3"/>
  <c r="F104" i="3"/>
  <c r="D88" i="3"/>
  <c r="D89" i="3" s="1"/>
  <c r="D51" i="3" s="1"/>
  <c r="E20" i="3"/>
  <c r="E22" i="3" s="1"/>
  <c r="E50" i="3" s="1"/>
  <c r="E53" i="3" s="1"/>
  <c r="C88" i="3"/>
  <c r="C89" i="3" s="1"/>
  <c r="C51" i="3" s="1"/>
  <c r="F104" i="4"/>
  <c r="F111" i="4"/>
  <c r="F106" i="4"/>
  <c r="F109" i="4"/>
  <c r="F101" i="4"/>
  <c r="F52" i="4" s="1"/>
  <c r="D106" i="4"/>
  <c r="D110" i="4"/>
  <c r="D101" i="4"/>
  <c r="D52" i="4" s="1"/>
  <c r="D54" i="4" s="1"/>
  <c r="D104" i="4"/>
  <c r="H100" i="3"/>
  <c r="E20" i="4"/>
  <c r="E22" i="4" s="1"/>
  <c r="E50" i="4" s="1"/>
  <c r="E53" i="4" s="1"/>
  <c r="H20" i="4"/>
  <c r="H22" i="4" s="1"/>
  <c r="H50" i="4" s="1"/>
  <c r="H54" i="4" s="1"/>
  <c r="C106" i="5"/>
  <c r="C110" i="5"/>
  <c r="C101" i="5"/>
  <c r="C52" i="5" s="1"/>
  <c r="C104" i="5"/>
  <c r="F54" i="3"/>
  <c r="C20" i="3"/>
  <c r="C22" i="3" s="1"/>
  <c r="G100" i="3"/>
  <c r="H105" i="5"/>
  <c r="H109" i="5"/>
  <c r="H104" i="5"/>
  <c r="H108" i="5"/>
  <c r="H107" i="5"/>
  <c r="H106" i="5"/>
  <c r="H110" i="5"/>
  <c r="B71" i="5"/>
  <c r="C71" i="5"/>
  <c r="D71" i="5"/>
  <c r="E71" i="5"/>
  <c r="F71" i="5"/>
  <c r="G71" i="5"/>
  <c r="D20" i="3"/>
  <c r="D22" i="3" s="1"/>
  <c r="D50" i="3" s="1"/>
  <c r="C107" i="4"/>
  <c r="C106" i="4"/>
  <c r="C110" i="4"/>
  <c r="C105" i="4"/>
  <c r="C101" i="4"/>
  <c r="C52" i="4" s="1"/>
  <c r="C104" i="4"/>
  <c r="C108" i="4"/>
  <c r="E100" i="3"/>
  <c r="C25" i="4"/>
  <c r="F88" i="4"/>
  <c r="F89" i="4" s="1"/>
  <c r="F51" i="4" s="1"/>
  <c r="H101" i="4"/>
  <c r="H52" i="4" s="1"/>
  <c r="H104" i="4"/>
  <c r="H111" i="4"/>
  <c r="H106" i="4"/>
  <c r="G105" i="5"/>
  <c r="G109" i="5"/>
  <c r="G104" i="5"/>
  <c r="G108" i="5"/>
  <c r="G107" i="5"/>
  <c r="G106" i="5"/>
  <c r="G110" i="5"/>
  <c r="E104" i="5"/>
  <c r="E111" i="5"/>
  <c r="E106" i="5"/>
  <c r="E109" i="5"/>
  <c r="E101" i="5"/>
  <c r="E52" i="5" s="1"/>
  <c r="B70" i="5"/>
  <c r="C70" i="5"/>
  <c r="D100" i="3"/>
  <c r="C100" i="3"/>
  <c r="H88" i="4"/>
  <c r="H89" i="4" s="1"/>
  <c r="H51" i="4" s="1"/>
  <c r="F104" i="5"/>
  <c r="F108" i="5"/>
  <c r="F107" i="5"/>
  <c r="F106" i="5"/>
  <c r="F110" i="5"/>
  <c r="F105" i="5"/>
  <c r="F101" i="5"/>
  <c r="F52" i="5" s="1"/>
  <c r="D107" i="5"/>
  <c r="D111" i="5"/>
  <c r="D105" i="5"/>
  <c r="D109" i="5"/>
  <c r="D108" i="5"/>
  <c r="E104" i="4"/>
  <c r="E107" i="4"/>
  <c r="E111" i="4"/>
  <c r="E106" i="4"/>
  <c r="E109" i="4"/>
  <c r="E101" i="4"/>
  <c r="E52" i="4" s="1"/>
  <c r="J105" i="5"/>
  <c r="L105" i="5"/>
  <c r="C115" i="5"/>
  <c r="D42" i="5"/>
  <c r="J104" i="5"/>
  <c r="L104" i="5"/>
  <c r="C114" i="5"/>
  <c r="D53" i="4"/>
  <c r="H20" i="5"/>
  <c r="H22" i="5" s="1"/>
  <c r="H50" i="5" s="1"/>
  <c r="H53" i="5" s="1"/>
  <c r="D53" i="5"/>
  <c r="J111" i="5"/>
  <c r="L111" i="5"/>
  <c r="C121" i="5"/>
  <c r="G20" i="4"/>
  <c r="G22" i="4" s="1"/>
  <c r="G50" i="4" s="1"/>
  <c r="G20" i="5"/>
  <c r="G22" i="5" s="1"/>
  <c r="G50" i="5" s="1"/>
  <c r="G53" i="5" s="1"/>
  <c r="J110" i="5"/>
  <c r="L110" i="5"/>
  <c r="C120" i="5"/>
  <c r="F20" i="4"/>
  <c r="F22" i="4" s="1"/>
  <c r="F50" i="4" s="1"/>
  <c r="F20" i="5"/>
  <c r="F22" i="5" s="1"/>
  <c r="F50" i="5" s="1"/>
  <c r="F53" i="5" s="1"/>
  <c r="J109" i="5"/>
  <c r="L109" i="5"/>
  <c r="C119" i="5"/>
  <c r="E20" i="5"/>
  <c r="E22" i="5" s="1"/>
  <c r="E50" i="5" s="1"/>
  <c r="J108" i="5"/>
  <c r="L108" i="5"/>
  <c r="C118" i="5"/>
  <c r="F54" i="5"/>
  <c r="J107" i="5"/>
  <c r="L107" i="5"/>
  <c r="H31" i="1"/>
  <c r="I31" i="1" s="1"/>
  <c r="J31" i="1" s="1"/>
  <c r="C20" i="4"/>
  <c r="C22" i="4" s="1"/>
  <c r="G53" i="4"/>
  <c r="E54" i="4"/>
  <c r="C20" i="5"/>
  <c r="C22" i="5" s="1"/>
  <c r="J106" i="5"/>
  <c r="H54" i="5" l="1"/>
  <c r="E107" i="5"/>
  <c r="C111" i="5"/>
  <c r="I111" i="5" s="1"/>
  <c r="D109" i="4"/>
  <c r="I109" i="4" s="1"/>
  <c r="J109" i="4" s="1"/>
  <c r="F105" i="4"/>
  <c r="J33" i="1"/>
  <c r="E110" i="4"/>
  <c r="I110" i="4" s="1"/>
  <c r="J110" i="4" s="1"/>
  <c r="D101" i="5"/>
  <c r="D52" i="5" s="1"/>
  <c r="D54" i="5" s="1"/>
  <c r="F109" i="5"/>
  <c r="F70" i="5"/>
  <c r="E108" i="5"/>
  <c r="G101" i="5"/>
  <c r="G52" i="5" s="1"/>
  <c r="G54" i="5" s="1"/>
  <c r="G104" i="4"/>
  <c r="I104" i="4" s="1"/>
  <c r="J104" i="4" s="1"/>
  <c r="E58" i="4" s="1"/>
  <c r="H108" i="4"/>
  <c r="C111" i="4"/>
  <c r="H101" i="5"/>
  <c r="H52" i="5" s="1"/>
  <c r="C108" i="5"/>
  <c r="I108" i="5" s="1"/>
  <c r="C107" i="5"/>
  <c r="D105" i="4"/>
  <c r="I105" i="4" s="1"/>
  <c r="J105" i="4" s="1"/>
  <c r="E59" i="4" s="1"/>
  <c r="F110" i="4"/>
  <c r="G101" i="4"/>
  <c r="G52" i="4" s="1"/>
  <c r="G54" i="4" s="1"/>
  <c r="G109" i="4"/>
  <c r="G110" i="4"/>
  <c r="G105" i="4"/>
  <c r="H109" i="4"/>
  <c r="C109" i="5"/>
  <c r="E54" i="5"/>
  <c r="D110" i="5"/>
  <c r="E70" i="5"/>
  <c r="E105" i="5"/>
  <c r="D111" i="4"/>
  <c r="F107" i="4"/>
  <c r="I107" i="4" s="1"/>
  <c r="J107" i="4" s="1"/>
  <c r="E61" i="4" s="1"/>
  <c r="I104" i="5"/>
  <c r="E53" i="5"/>
  <c r="E108" i="4"/>
  <c r="D106" i="5"/>
  <c r="D70" i="5"/>
  <c r="G106" i="4"/>
  <c r="H110" i="4"/>
  <c r="H105" i="4"/>
  <c r="D108" i="4"/>
  <c r="F55" i="3"/>
  <c r="G111" i="4"/>
  <c r="G107" i="4"/>
  <c r="E104" i="3"/>
  <c r="E108" i="3"/>
  <c r="E107" i="3"/>
  <c r="E111" i="3"/>
  <c r="E106" i="3"/>
  <c r="E110" i="3"/>
  <c r="E105" i="3"/>
  <c r="E109" i="3"/>
  <c r="E101" i="3"/>
  <c r="E52" i="3" s="1"/>
  <c r="E54" i="3" s="1"/>
  <c r="C50" i="4"/>
  <c r="C132" i="4"/>
  <c r="C24" i="4"/>
  <c r="I109" i="5"/>
  <c r="F55" i="4"/>
  <c r="F54" i="4"/>
  <c r="B68" i="5"/>
  <c r="C68" i="5"/>
  <c r="D68" i="5"/>
  <c r="E68" i="5"/>
  <c r="F68" i="5"/>
  <c r="G68" i="5"/>
  <c r="I105" i="5"/>
  <c r="F53" i="4"/>
  <c r="I106" i="4"/>
  <c r="J106" i="4" s="1"/>
  <c r="E60" i="4" s="1"/>
  <c r="H104" i="3"/>
  <c r="H108" i="3"/>
  <c r="H106" i="3"/>
  <c r="H110" i="3"/>
  <c r="H105" i="3"/>
  <c r="H111" i="3"/>
  <c r="H101" i="3"/>
  <c r="H52" i="3" s="1"/>
  <c r="H54" i="3" s="1"/>
  <c r="H107" i="3"/>
  <c r="H109" i="3"/>
  <c r="J34" i="1"/>
  <c r="J35" i="1" s="1"/>
  <c r="C132" i="3"/>
  <c r="C50" i="3"/>
  <c r="C24" i="3"/>
  <c r="I106" i="5"/>
  <c r="D106" i="3"/>
  <c r="D110" i="3"/>
  <c r="D105" i="3"/>
  <c r="D104" i="3"/>
  <c r="D108" i="3"/>
  <c r="D111" i="3"/>
  <c r="D101" i="3"/>
  <c r="D52" i="3" s="1"/>
  <c r="D54" i="3" s="1"/>
  <c r="D107" i="3"/>
  <c r="D109" i="3"/>
  <c r="B72" i="5"/>
  <c r="C72" i="5"/>
  <c r="D72" i="5"/>
  <c r="E72" i="5"/>
  <c r="F72" i="5"/>
  <c r="G72" i="5"/>
  <c r="D53" i="3"/>
  <c r="B39" i="1"/>
  <c r="C24" i="5"/>
  <c r="C50" i="5"/>
  <c r="C132" i="5"/>
  <c r="I107" i="5"/>
  <c r="I110" i="5"/>
  <c r="D73" i="5"/>
  <c r="E73" i="5"/>
  <c r="F73" i="5"/>
  <c r="G73" i="5"/>
  <c r="B73" i="5"/>
  <c r="C73" i="5"/>
  <c r="B75" i="5"/>
  <c r="C75" i="5"/>
  <c r="D75" i="5"/>
  <c r="E75" i="5"/>
  <c r="F75" i="5"/>
  <c r="G75" i="5"/>
  <c r="D69" i="5"/>
  <c r="E69" i="5"/>
  <c r="F69" i="5"/>
  <c r="G69" i="5"/>
  <c r="B69" i="5"/>
  <c r="C69" i="5"/>
  <c r="H53" i="4"/>
  <c r="F74" i="5"/>
  <c r="G74" i="5"/>
  <c r="B74" i="5"/>
  <c r="C74" i="5"/>
  <c r="D74" i="5"/>
  <c r="E74" i="5"/>
  <c r="D55" i="3"/>
  <c r="G105" i="3"/>
  <c r="I105" i="3" s="1"/>
  <c r="J105" i="3" s="1"/>
  <c r="E59" i="3" s="1"/>
  <c r="G109" i="3"/>
  <c r="G101" i="3"/>
  <c r="G52" i="3" s="1"/>
  <c r="G104" i="3"/>
  <c r="G108" i="3"/>
  <c r="G107" i="3"/>
  <c r="G111" i="3"/>
  <c r="G106" i="3"/>
  <c r="G110" i="3"/>
  <c r="E55" i="4"/>
  <c r="C107" i="3"/>
  <c r="C111" i="3"/>
  <c r="C106" i="3"/>
  <c r="I106" i="3" s="1"/>
  <c r="J106" i="3" s="1"/>
  <c r="E60" i="3" s="1"/>
  <c r="C110" i="3"/>
  <c r="C105" i="3"/>
  <c r="C109" i="3"/>
  <c r="C101" i="3"/>
  <c r="C52" i="3" s="1"/>
  <c r="C104" i="3"/>
  <c r="I104" i="3" s="1"/>
  <c r="J104" i="3" s="1"/>
  <c r="E58" i="3" s="1"/>
  <c r="C108" i="3"/>
  <c r="I111" i="3" l="1"/>
  <c r="J111" i="3" s="1"/>
  <c r="I111" i="4"/>
  <c r="J111" i="4" s="1"/>
  <c r="I110" i="3"/>
  <c r="J110" i="3" s="1"/>
  <c r="I108" i="4"/>
  <c r="J108" i="4" s="1"/>
  <c r="I107" i="3"/>
  <c r="J107" i="3" s="1"/>
  <c r="E61" i="3" s="1"/>
  <c r="G55" i="3"/>
  <c r="G54" i="3"/>
  <c r="C55" i="3"/>
  <c r="C54" i="3"/>
  <c r="C53" i="3"/>
  <c r="C41" i="3" s="1"/>
  <c r="C46" i="5"/>
  <c r="C133" i="5"/>
  <c r="B37" i="1"/>
  <c r="C133" i="3"/>
  <c r="C46" i="3"/>
  <c r="I109" i="3"/>
  <c r="J109" i="3" s="1"/>
  <c r="C53" i="5"/>
  <c r="C41" i="5" s="1"/>
  <c r="C45" i="5" s="1"/>
  <c r="C54" i="5"/>
  <c r="D41" i="5" s="1"/>
  <c r="E55" i="3"/>
  <c r="C133" i="4"/>
  <c r="C55" i="4"/>
  <c r="C54" i="4"/>
  <c r="D41" i="4" s="1"/>
  <c r="C53" i="4"/>
  <c r="C41" i="4" s="1"/>
  <c r="I108" i="3"/>
  <c r="J108" i="3" s="1"/>
  <c r="E62" i="3" s="1"/>
  <c r="N6" i="2"/>
  <c r="N7" i="2"/>
  <c r="K106" i="4" l="1"/>
  <c r="K107" i="4"/>
  <c r="K108" i="4"/>
  <c r="L108" i="4" s="1"/>
  <c r="D44" i="4"/>
  <c r="K109" i="4"/>
  <c r="L109" i="4" s="1"/>
  <c r="K110" i="4"/>
  <c r="L110" i="4" s="1"/>
  <c r="K111" i="4"/>
  <c r="L111" i="4" s="1"/>
  <c r="K104" i="4"/>
  <c r="K105" i="4"/>
  <c r="D45" i="4"/>
  <c r="D42" i="4"/>
  <c r="C46" i="4"/>
  <c r="K106" i="5"/>
  <c r="K107" i="5"/>
  <c r="K108" i="5"/>
  <c r="K109" i="5"/>
  <c r="K110" i="5"/>
  <c r="K111" i="5"/>
  <c r="K104" i="5"/>
  <c r="K105" i="5"/>
  <c r="D45" i="5"/>
  <c r="C42" i="3"/>
  <c r="C45" i="3"/>
  <c r="C44" i="3"/>
  <c r="D41" i="3"/>
  <c r="C44" i="4"/>
  <c r="C45" i="4"/>
  <c r="C42" i="4"/>
  <c r="I7" i="2"/>
  <c r="K7" i="2"/>
  <c r="H6" i="2"/>
  <c r="J7" i="2"/>
  <c r="H7" i="2"/>
  <c r="L7" i="2"/>
  <c r="K6" i="2"/>
  <c r="C43" i="3" l="1"/>
  <c r="D43" i="4"/>
  <c r="C126" i="4"/>
  <c r="M107" i="4"/>
  <c r="C61" i="4"/>
  <c r="L107" i="4"/>
  <c r="G61" i="4" s="1"/>
  <c r="K106" i="3"/>
  <c r="K108" i="3"/>
  <c r="K109" i="3"/>
  <c r="L109" i="3" s="1"/>
  <c r="K110" i="3"/>
  <c r="L110" i="3" s="1"/>
  <c r="K111" i="3"/>
  <c r="L111" i="3" s="1"/>
  <c r="K104" i="3"/>
  <c r="K105" i="3"/>
  <c r="K107" i="3"/>
  <c r="D45" i="3"/>
  <c r="D44" i="3"/>
  <c r="D42" i="3"/>
  <c r="C47" i="3" s="1"/>
  <c r="M105" i="4"/>
  <c r="G59" i="4"/>
  <c r="C59" i="4"/>
  <c r="L105" i="4"/>
  <c r="M106" i="4"/>
  <c r="C60" i="4"/>
  <c r="L106" i="4"/>
  <c r="G60" i="4" s="1"/>
  <c r="C126" i="3"/>
  <c r="G58" i="4"/>
  <c r="C58" i="4"/>
  <c r="M104" i="4"/>
  <c r="L104" i="4"/>
  <c r="C43" i="4"/>
  <c r="C47" i="4"/>
  <c r="C125" i="4"/>
  <c r="M7" i="2"/>
  <c r="L6" i="2"/>
  <c r="J6" i="2"/>
  <c r="I6" i="2"/>
  <c r="F58" i="4" l="1"/>
  <c r="D58" i="4"/>
  <c r="M107" i="3"/>
  <c r="C61" i="3"/>
  <c r="L107" i="3"/>
  <c r="F61" i="4"/>
  <c r="D61" i="4"/>
  <c r="C125" i="3"/>
  <c r="M106" i="3"/>
  <c r="G60" i="3"/>
  <c r="C60" i="3"/>
  <c r="L106" i="3"/>
  <c r="C116" i="4"/>
  <c r="C117" i="4"/>
  <c r="C118" i="4"/>
  <c r="C119" i="4"/>
  <c r="C120" i="4"/>
  <c r="C121" i="4"/>
  <c r="C114" i="4"/>
  <c r="C115" i="4"/>
  <c r="F59" i="4"/>
  <c r="D59" i="4"/>
  <c r="M105" i="3"/>
  <c r="C59" i="3"/>
  <c r="L105" i="3"/>
  <c r="G59" i="3" s="1"/>
  <c r="M104" i="3"/>
  <c r="C58" i="3"/>
  <c r="L104" i="3"/>
  <c r="F60" i="4"/>
  <c r="D60" i="4"/>
  <c r="D43" i="3"/>
  <c r="M108" i="3"/>
  <c r="C62" i="3"/>
  <c r="L108" i="3"/>
  <c r="O7" i="2"/>
  <c r="P7" i="2"/>
  <c r="M6" i="2"/>
  <c r="B75" i="4" l="1"/>
  <c r="C75" i="4"/>
  <c r="D75" i="4"/>
  <c r="E75" i="4"/>
  <c r="F75" i="4"/>
  <c r="G75" i="4"/>
  <c r="F74" i="4"/>
  <c r="B74" i="4"/>
  <c r="C74" i="4"/>
  <c r="D74" i="4"/>
  <c r="E74" i="4"/>
  <c r="G74" i="4"/>
  <c r="D73" i="4"/>
  <c r="F73" i="4"/>
  <c r="G73" i="4"/>
  <c r="B73" i="4"/>
  <c r="C73" i="4"/>
  <c r="E73" i="4"/>
  <c r="B72" i="4"/>
  <c r="D72" i="4"/>
  <c r="E72" i="4"/>
  <c r="F72" i="4"/>
  <c r="G72" i="4"/>
  <c r="C72" i="4"/>
  <c r="B71" i="4"/>
  <c r="C71" i="4"/>
  <c r="D71" i="4"/>
  <c r="E71" i="4"/>
  <c r="F71" i="4"/>
  <c r="G71" i="4"/>
  <c r="F58" i="3"/>
  <c r="D58" i="3"/>
  <c r="F62" i="3"/>
  <c r="D62" i="3"/>
  <c r="F70" i="4"/>
  <c r="B70" i="4"/>
  <c r="C70" i="4"/>
  <c r="D70" i="4"/>
  <c r="E70" i="4"/>
  <c r="G70" i="4"/>
  <c r="F61" i="3"/>
  <c r="D61" i="3"/>
  <c r="G58" i="3"/>
  <c r="D69" i="4"/>
  <c r="F69" i="4"/>
  <c r="G69" i="4"/>
  <c r="B69" i="4"/>
  <c r="C69" i="4"/>
  <c r="E69" i="4"/>
  <c r="F60" i="3"/>
  <c r="D60" i="3"/>
  <c r="G61" i="3"/>
  <c r="G62" i="3"/>
  <c r="C116" i="3"/>
  <c r="C118" i="3"/>
  <c r="C119" i="3"/>
  <c r="C120" i="3"/>
  <c r="C121" i="3"/>
  <c r="C114" i="3"/>
  <c r="C115" i="3"/>
  <c r="C117" i="3"/>
  <c r="B68" i="4"/>
  <c r="D68" i="4"/>
  <c r="E68" i="4"/>
  <c r="F68" i="4"/>
  <c r="G68" i="4"/>
  <c r="C68" i="4"/>
  <c r="D59" i="3"/>
  <c r="F59" i="3"/>
  <c r="O6" i="2"/>
  <c r="P6" i="2"/>
  <c r="C75" i="3" l="1"/>
  <c r="D75" i="3"/>
  <c r="F75" i="3"/>
  <c r="G75" i="3"/>
  <c r="E75" i="3"/>
  <c r="B75" i="3"/>
  <c r="B74" i="3"/>
  <c r="D74" i="3"/>
  <c r="E74" i="3"/>
  <c r="F74" i="3"/>
  <c r="G74" i="3"/>
  <c r="C74" i="3"/>
  <c r="B73" i="3"/>
  <c r="C73" i="3"/>
  <c r="D73" i="3"/>
  <c r="E73" i="3"/>
  <c r="F73" i="3"/>
  <c r="G73" i="3"/>
  <c r="D71" i="3"/>
  <c r="F71" i="3"/>
  <c r="G71" i="3"/>
  <c r="E71" i="3"/>
  <c r="B71" i="3"/>
  <c r="C71" i="3"/>
  <c r="E72" i="3"/>
  <c r="G72" i="3"/>
  <c r="F72" i="3"/>
  <c r="B72" i="3"/>
  <c r="C72" i="3"/>
  <c r="D72" i="3"/>
  <c r="B70" i="3"/>
  <c r="D70" i="3"/>
  <c r="E70" i="3"/>
  <c r="F70" i="3"/>
  <c r="G70" i="3"/>
  <c r="C70" i="3"/>
  <c r="B69" i="3"/>
  <c r="C69" i="3"/>
  <c r="D69" i="3"/>
  <c r="E69" i="3"/>
  <c r="F69" i="3"/>
  <c r="G69" i="3"/>
  <c r="E68" i="3"/>
  <c r="F68" i="3"/>
  <c r="G68" i="3"/>
  <c r="B68" i="3"/>
  <c r="C68" i="3"/>
  <c r="D68" i="3"/>
  <c r="G46" i="2"/>
  <c r="C45" i="2"/>
  <c r="F42" i="2"/>
  <c r="B43" i="2"/>
  <c r="C41" i="2"/>
  <c r="F39" i="2"/>
  <c r="E46" i="2"/>
  <c r="B44" i="2"/>
  <c r="G42" i="2"/>
  <c r="C43" i="2"/>
  <c r="B40" i="2"/>
  <c r="G39" i="2"/>
  <c r="B46" i="2"/>
  <c r="C44" i="2"/>
  <c r="E42" i="2"/>
  <c r="D43" i="2"/>
  <c r="C40" i="2"/>
  <c r="B39" i="2"/>
  <c r="B45" i="2"/>
  <c r="D44" i="2"/>
  <c r="B42" i="2"/>
  <c r="B41" i="2"/>
  <c r="D40" i="2"/>
  <c r="C39" i="2"/>
  <c r="D45" i="2"/>
  <c r="E44" i="2"/>
  <c r="C42" i="2"/>
  <c r="D41" i="2"/>
  <c r="E40" i="2"/>
  <c r="D39" i="2"/>
  <c r="C46" i="2"/>
  <c r="E45" i="2"/>
  <c r="F44" i="2"/>
  <c r="E43" i="2"/>
  <c r="E41" i="2"/>
  <c r="F40" i="2"/>
  <c r="D46" i="2"/>
  <c r="F45" i="2"/>
  <c r="G44" i="2"/>
  <c r="G43" i="2"/>
  <c r="F41" i="2"/>
  <c r="G40" i="2"/>
  <c r="F46" i="2"/>
  <c r="G45" i="2"/>
  <c r="D42" i="2"/>
  <c r="F43" i="2"/>
  <c r="G41" i="2"/>
  <c r="E39" i="2"/>
</calcChain>
</file>

<file path=xl/sharedStrings.xml><?xml version="1.0" encoding="utf-8"?>
<sst xmlns="http://schemas.openxmlformats.org/spreadsheetml/2006/main" count="671" uniqueCount="294">
  <si>
    <t>Parámetros (ajustes generales)</t>
  </si>
  <si>
    <t>Cambia estos valores solo si tu equipo lo acuerda. Afectan a todos los indicadores.</t>
  </si>
  <si>
    <t>Semáforo de suficiencia (de menor a mayor)</t>
  </si>
  <si>
    <t>Desde (suficiencia)</t>
  </si>
  <si>
    <t>Color</t>
  </si>
  <si>
    <t>Qué significa</t>
  </si>
  <si>
    <t>ROJO</t>
  </si>
  <si>
    <t>Las iniciativas no alcanzan: faltan iniciativas o más efectividad.</t>
  </si>
  <si>
    <t>AMARILLO</t>
  </si>
  <si>
    <t>Cerca: con ajustes puede alcanzar.</t>
  </si>
  <si>
    <t>VERDE</t>
  </si>
  <si>
    <t>Alcanza: las iniciativas cubren toda la brecha.</t>
  </si>
  <si>
    <t>Alertas</t>
  </si>
  <si>
    <t>Parámetro</t>
  </si>
  <si>
    <t>Valor</t>
  </si>
  <si>
    <t>Umbral para REEMPLAZAR</t>
  </si>
  <si>
    <t>Si una iniciativa aporta menos de este % de la brecha (o su ejecución es 0 %), se marca REEMPLAZAR.</t>
  </si>
  <si>
    <t>Peso mínimo para SIN COBERTURA</t>
  </si>
  <si>
    <t>Un dolor cuya atribución es mayor a este valor...</t>
  </si>
  <si>
    <t>Resolución mínima para SIN COBERTURA</t>
  </si>
  <si>
    <t>...y que queda resuelto menos que este valor (realista) se marca SIN COBERTURA.</t>
  </si>
  <si>
    <t>Tope de efectividad real</t>
  </si>
  <si>
    <t>Ninguna iniciativa resuelve el 100 % de un dolor. También evita divisiones entre cero.</t>
  </si>
  <si>
    <t>Listas desplegables</t>
  </si>
  <si>
    <t>Sentido</t>
  </si>
  <si>
    <t>Estado</t>
  </si>
  <si>
    <t>Sube es mejor</t>
  </si>
  <si>
    <t>Baja es mejor</t>
  </si>
  <si>
    <t>En plan</t>
  </si>
  <si>
    <t>En riesgo</t>
  </si>
  <si>
    <t>Retrasada</t>
  </si>
  <si>
    <t>⚠ DATOS DE EJEMPLO – reemplázalos por los tuyos.</t>
  </si>
  <si>
    <t>Azul = lo escribes tú  ·  Gris = se calcula solo, no lo toques  ·  Rojo / ⚠ = alerta, revisa</t>
  </si>
  <si>
    <t>PASO 1 · ¿Cuánto me falta?  (datos del indicador)</t>
  </si>
  <si>
    <t>Total de casos analizados</t>
  </si>
  <si>
    <t>Brecha a la meta  (lo que debes recuperar)</t>
  </si>
  <si>
    <t>Problema total hoy  (el pastel)</t>
  </si>
  <si>
    <t>Valor ideal (opcional)</t>
  </si>
  <si>
    <t>Meta 2027</t>
  </si>
  <si>
    <t>Ejecutado actual</t>
  </si>
  <si>
    <t>Unidad</t>
  </si>
  <si>
    <t>Nombre del indicador</t>
  </si>
  <si>
    <t>Escribe el nombre completo del indicador.</t>
  </si>
  <si>
    <t>Ej.: %, horas, puntos NPS.</t>
  </si>
  <si>
    <t>Valor que debes alcanzar en 2027.</t>
  </si>
  <si>
    <t>El mejor valor posible. Si lo dejas vacío: 100 si sube es mejor, 0 si baja es mejor.</t>
  </si>
  <si>
    <t>Distancia entre hoy y el ideal. Es TODO el problema que explican los dolores.</t>
  </si>
  <si>
    <t>Distancia entre hoy y la meta 2027. Es lo que las iniciativas deben recuperar.</t>
  </si>
  <si>
    <t>Ej.: clientes que se dieron de baja en el periodo. Sirve para calcular la prevalencia.</t>
  </si>
  <si>
    <t>PASO 2 · ¿Qué causa el problema?  (dolores = porciones del pastel)</t>
  </si>
  <si>
    <t>Dato del dolor</t>
  </si>
  <si>
    <t>Dolor 1</t>
  </si>
  <si>
    <t>Dolor 2</t>
  </si>
  <si>
    <t>Dolor 3</t>
  </si>
  <si>
    <t>Dolor 4</t>
  </si>
  <si>
    <t>Dolor 5</t>
  </si>
  <si>
    <t>Dolor 6</t>
  </si>
  <si>
    <t>% Atribución usada</t>
  </si>
  <si>
    <t>% Atribución manual  (opcional)</t>
  </si>
  <si>
    <t>% Atribución automática  (su parte del pastel)</t>
  </si>
  <si>
    <t>% Prevalencia  (casos ÷ total analizado)</t>
  </si>
  <si>
    <t>Casos con este dolor</t>
  </si>
  <si>
    <t>Nombre del dolor</t>
  </si>
  <si>
    <t>Revisión</t>
  </si>
  <si>
    <t>Evidencia / fuente del dato</t>
  </si>
  <si>
    <t>PASO 3 · ¿Qué vas a hacer?  En cada dolor escribe qué % resuelve la iniciativa si se hace completa (vacío = 0 %)</t>
  </si>
  <si>
    <t>N°</t>
  </si>
  <si>
    <t>Iniciativa</t>
  </si>
  <si>
    <t>% Ejecución esperada a 2027</t>
  </si>
  <si>
    <t>Responsable</t>
  </si>
  <si>
    <t>Fecha comprometida</t>
  </si>
  <si>
    <t>Evidencia que respalda los %</t>
  </si>
  <si>
    <t>I1</t>
  </si>
  <si>
    <t>I2</t>
  </si>
  <si>
    <t>I3</t>
  </si>
  <si>
    <t>I4</t>
  </si>
  <si>
    <t>I5</t>
  </si>
  <si>
    <t>I6</t>
  </si>
  <si>
    <t>I7</t>
  </si>
  <si>
    <t>I8</t>
  </si>
  <si>
    <t>PASO 4 · ¿Me alcanza?  (resultado · aquí no escribes nada)</t>
  </si>
  <si>
    <t>Resultado</t>
  </si>
  <si>
    <t>Plan (todo al 100 %)</t>
  </si>
  <si>
    <t>Realista (con tu % de ejecución)</t>
  </si>
  <si>
    <t>Semáforo</t>
  </si>
  <si>
    <t>Suficiencia  (recuperado ÷ brecha)</t>
  </si>
  <si>
    <t>Puntos recuperados</t>
  </si>
  <si>
    <t>En palabras simples</t>
  </si>
  <si>
    <t>Dolor principal</t>
  </si>
  <si>
    <t>Brecha que aún faltaría</t>
  </si>
  <si>
    <t>Valor proyectado 2027</t>
  </si>
  <si>
    <t>Resultado por dolor</t>
  </si>
  <si>
    <t>Puntos recuperados · Realista</t>
  </si>
  <si>
    <t>Puntos recuperados · Plan</t>
  </si>
  <si>
    <t>% del dolor resuelto · Realista</t>
  </si>
  <si>
    <t>% del dolor resuelto · Plan</t>
  </si>
  <si>
    <t>Alerta</t>
  </si>
  <si>
    <t>¿Cuánto aporta cada iniciativa? (realista)</t>
  </si>
  <si>
    <t>Aporte (puntos)</t>
  </si>
  <si>
    <t>Aporte (% de la brecha)</t>
  </si>
  <si>
    <t>Suficiencia si falla</t>
  </si>
  <si>
    <t>Etiqueta</t>
  </si>
  <si>
    <t>Puesto</t>
  </si>
  <si>
    <t>Ranking: de mayor a menor aporte</t>
  </si>
  <si>
    <t>CÁLCULOS · no tocar · así se llega al resultado (puedes revisarlos paso a paso)</t>
  </si>
  <si>
    <t>A · Lo que DEJA cada iniciativa en cada dolor · PLAN   = 1 − efectividad</t>
  </si>
  <si>
    <t>B · Lo que DEJA cada iniciativa en cada dolor · REALISTA   = 1 − efectividad × ejecución</t>
  </si>
  <si>
    <t>Lo que queda del dolor  (se multiplica la columna)</t>
  </si>
  <si>
    <t>% del dolor resuelto · Plan   = 1 − lo que queda</t>
  </si>
  <si>
    <t>% del dolor resuelto · Realista   = 1 − lo que queda</t>
  </si>
  <si>
    <t>C · Si la iniciativa falla: % del dolor resuelto SIN ella  (se divide para deshacer su multiplicación)</t>
  </si>
  <si>
    <t>Puntos recuperados sin ella</t>
  </si>
  <si>
    <t>Suficiencia sin ella</t>
  </si>
  <si>
    <t>Orden para el ranking (auxiliar)</t>
  </si>
  <si>
    <t>D · Posición en el ranking</t>
  </si>
  <si>
    <t>Fila de la iniciativa</t>
  </si>
  <si>
    <t>E · Datos del gráfico</t>
  </si>
  <si>
    <t>Ejecutado hoy</t>
  </si>
  <si>
    <t>Proyectado realista</t>
  </si>
  <si>
    <t>Proyectado plan</t>
  </si>
  <si>
    <t>F · Auxiliares</t>
  </si>
  <si>
    <t>Unidad de la brecha</t>
  </si>
  <si>
    <t>Valor ideal usado</t>
  </si>
  <si>
    <t>Posición del dolor principal</t>
  </si>
  <si>
    <t>Nombre del dolor principal</t>
  </si>
  <si>
    <t>Churn mensual pospago</t>
  </si>
  <si>
    <t>%</t>
  </si>
  <si>
    <t>Precio / oferta de la competencia</t>
  </si>
  <si>
    <t>Encuesta de salida Q2-2026 (n = 12.000 bajas)</t>
  </si>
  <si>
    <t>Fallas de red / cobertura</t>
  </si>
  <si>
    <t>Cruce de bajas con mapa de caídas de red (últimos 90 días)</t>
  </si>
  <si>
    <t>Reclamos no resueltos</t>
  </si>
  <si>
    <t>CRM: reclamo abierto más de 7 días antes de la baja</t>
  </si>
  <si>
    <t>Errores de facturación</t>
  </si>
  <si>
    <t>Notas de crédito emitidas en los 3 meses previos a la baja</t>
  </si>
  <si>
    <t>No gestionable (mudanza, fallecimiento)</t>
  </si>
  <si>
    <t>Motivo de baja declarado en tienda</t>
  </si>
  <si>
    <t>Nuevo portafolio de planes competitivos</t>
  </si>
  <si>
    <t>Marketing</t>
  </si>
  <si>
    <t>Piloto: 45 % de los clientes que se iban por precio aceptó el nuevo plan</t>
  </si>
  <si>
    <t>Ofertas de retención con modelo predictivo</t>
  </si>
  <si>
    <t>Retención</t>
  </si>
  <si>
    <t>Piloto Q1-2026: retuvo 10 % (precio) y 15 % (reclamos) de clientes en riesgo</t>
  </si>
  <si>
    <t>Densificación de red en zonas críticas</t>
  </si>
  <si>
    <t>Red</t>
  </si>
  <si>
    <t>Simulación: 30 % de las quejas de red están en sitios planificados</t>
  </si>
  <si>
    <t>Resolución en el primer contacto</t>
  </si>
  <si>
    <t>Experiencia cliente</t>
  </si>
  <si>
    <t>Piloto zona sur: −30 % reclamos reiterados y −25 % errores de factura</t>
  </si>
  <si>
    <t>Campaña de imagen de marca en redes</t>
  </si>
  <si>
    <t>Comunicaciones</t>
  </si>
  <si>
    <t>Instalaciones en fecha (FTTH)</t>
  </si>
  <si>
    <t>Falta de técnicos en la zona</t>
  </si>
  <si>
    <t>Órdenes reprogramadas por falta de cuadrilla (sistema de despacho)</t>
  </si>
  <si>
    <t>Cliente ausente o dirección errónea</t>
  </si>
  <si>
    <t>Visitas fallidas registradas por el técnico</t>
  </si>
  <si>
    <t>Falta de equipos (ONT / módem) en almacén</t>
  </si>
  <si>
    <t>Órdenes en espera por stock (ERP de logística)</t>
  </si>
  <si>
    <t>Factibilidad mal validada en la venta</t>
  </si>
  <si>
    <t>Órdenes rechazadas por falta de puerto o red</t>
  </si>
  <si>
    <t>Agendamiento con confirmación por WhatsApp</t>
  </si>
  <si>
    <t>Piloto zona norte: −70 % de visitas fallidas</t>
  </si>
  <si>
    <t>Contratación de técnicos tercerizados</t>
  </si>
  <si>
    <t>Operaciones</t>
  </si>
  <si>
    <t>Plan de capacidad: +60 % de cuadrillas en zonas con atraso</t>
  </si>
  <si>
    <t>Reposición automática de inventario</t>
  </si>
  <si>
    <t>Logística</t>
  </si>
  <si>
    <t>Modelo de stock mínimo: cubre 80 % de los quiebres de stock</t>
  </si>
  <si>
    <t>Validación de factibilidad en el punto de venta</t>
  </si>
  <si>
    <t>Ventas</t>
  </si>
  <si>
    <t>App de factibilidad: 70 % de los rechazos se detectan antes de vender</t>
  </si>
  <si>
    <t>Hoja en blanco: cópiala para cada indicador nuevo (clic derecho en la pestaña &gt; Mover o copiar &gt; Crear una copia).</t>
  </si>
  <si>
    <t>Resumen de suficiencia</t>
  </si>
  <si>
    <t>Escribe en la columna B el nombre exacto de la hoja de cada indicador, en orden y sin dejar filas vacías. El resto se llena solo.</t>
  </si>
  <si>
    <t>Azul = lo escribes tú  ·  Gris = se calcula solo  ·  Plan = todas las iniciativas al 100 %  ·  Realista = con el % de ejecución esperado</t>
  </si>
  <si>
    <t>1 · Comparativo por indicador</t>
  </si>
  <si>
    <t>Brecha</t>
  </si>
  <si>
    <t>Proyectado · Realista</t>
  </si>
  <si>
    <t>Iniciativas a REEMPLAZAR</t>
  </si>
  <si>
    <t>Referencia 100 %</t>
  </si>
  <si>
    <t>Hoja del indicador</t>
  </si>
  <si>
    <t>Iniciativas EN RIESGO</t>
  </si>
  <si>
    <t>Proyectado · Plan</t>
  </si>
  <si>
    <t>Brecha que faltaría (realista)</t>
  </si>
  <si>
    <t>Indicador</t>
  </si>
  <si>
    <t>Suficiencia · Realista</t>
  </si>
  <si>
    <t>Semáforo (realista)</t>
  </si>
  <si>
    <t>Suficiencia · Plan</t>
  </si>
  <si>
    <t>IND01_Churn</t>
  </si>
  <si>
    <t>IND02_Instalaciones</t>
  </si>
  <si>
    <t>2 · ¿Cuánto cubren las iniciativas?  (la línea verde es 100 % = alcanza)</t>
  </si>
  <si>
    <t>3 · Ranking de iniciativas del indicador elegido</t>
  </si>
  <si>
    <t>Elige la hoja del indicador  →</t>
  </si>
  <si>
    <t>Aporte (% brecha)</t>
  </si>
  <si>
    <t>4 · Qué hacer con cada etiqueta</t>
  </si>
  <si>
    <t>APORTA</t>
  </si>
  <si>
    <t>Va bien. Mantén el seguimiento normal.</t>
  </si>
  <si>
    <t>EN RIESGO</t>
  </si>
  <si>
    <t>Aporta, pero está retrasada o en riesgo. Dale seguimiento cercano: si falla, la suficiencia cae.</t>
  </si>
  <si>
    <t>REEMPLAZAR</t>
  </si>
  <si>
    <t>Casi no aporta (o su ejecución es 0 %). Cámbiala o rediséñala.</t>
  </si>
  <si>
    <t>⚠ SIN COBERTURA</t>
  </si>
  <si>
    <t>Lo verás en la hoja del indicador: un dolor importante casi no se resuelve. Falta una iniciativa para él.</t>
  </si>
  <si>
    <t>Plantilla de Suficiencia · Guía rápida</t>
  </si>
  <si>
    <t>Lee esto una vez (3 minutos). Después solo sigues los 4 pasos de cada hoja de indicador.</t>
  </si>
  <si>
    <t>1 · ¿Qué es la suficiencia? La idea del pastel</t>
  </si>
  <si>
    <t>• El PASTEL es todo el problema de hoy: la distancia entre el valor actual y el valor ideal.</t>
  </si>
  <si>
    <t>• Cada DOLOR es una porción del pastel: una causa del problema, sacada del análisis de datos.</t>
  </si>
  <si>
    <t>• Cada INICIATIVA se come una parte de las porciones (dolores) que ataca.</t>
  </si>
  <si>
    <t>• Solo cuenta lo que la iniciativa de verdad ejecuta: si se retrasa, come menos.</t>
  </si>
  <si>
    <t>• La BRECHA es el pedazo que necesitas comer para llegar a la meta 2027.</t>
  </si>
  <si>
    <t>• SUFICIENCIA = lo que comen las iniciativas ÷ la brecha.   100 % o más = alcanza.</t>
  </si>
  <si>
    <t>2 · Los 4 pasos (en cada hoja de indicador, de arriba hacia abajo)</t>
  </si>
  <si>
    <t>PASO 1 · ¿Cuánto me falta?</t>
  </si>
  <si>
    <t>Escribe el ejecutado, la meta 2027 y el total de casos analizados.</t>
  </si>
  <si>
    <t>PASO 2 · ¿Qué lo causa?</t>
  </si>
  <si>
    <t>Escribe los dolores y cuántos casos tiene cada uno. La plantilla calcula su peso en el pastel.</t>
  </si>
  <si>
    <t>PASO 3 · ¿Qué voy a hacer?</t>
  </si>
  <si>
    <t>Escribe las iniciativas, qué % de cada dolor resuelven y qué % estará ejecutado a 2027.</t>
  </si>
  <si>
    <t>PASO 4 · ¿Me alcanza?</t>
  </si>
  <si>
    <t>Solo miras: suficiencia, semáforo y qué iniciativa aporta más. Aquí no escribes nada.</t>
  </si>
  <si>
    <t>3 · Colores</t>
  </si>
  <si>
    <t>Azul</t>
  </si>
  <si>
    <t>Lo escribes tú.</t>
  </si>
  <si>
    <t>Gris</t>
  </si>
  <si>
    <t>Se calcula solo. No lo toques.</t>
  </si>
  <si>
    <t>⚠ Rojo</t>
  </si>
  <si>
    <t>Alerta: revisa ese dato.</t>
  </si>
  <si>
    <t>✔ Verde</t>
  </si>
  <si>
    <t>Todo bien.</t>
  </si>
  <si>
    <t>4 · Ejemplo en 1 minuto  (cambia las celdas azules y mira qué pasa)</t>
  </si>
  <si>
    <t>Problema total hoy (el pastel)</t>
  </si>
  <si>
    <t>puntos</t>
  </si>
  <si>
    <t>Brecha a la meta</t>
  </si>
  <si>
    <t>Iniciativa X: se ejecuta al</t>
  </si>
  <si>
    <t>Iniciativa Y: se ejecuta al</t>
  </si>
  <si>
    <t>Dolor</t>
  </si>
  <si>
    <t>Atribución (peso)</t>
  </si>
  <si>
    <t>X resuelve</t>
  </si>
  <si>
    <t>Y resuelve</t>
  </si>
  <si>
    <t>X real (× ejecución)</t>
  </si>
  <si>
    <t>Y real (× ejecución)</t>
  </si>
  <si>
    <t>Lo que queda del dolor</t>
  </si>
  <si>
    <t>% resuelto</t>
  </si>
  <si>
    <t>Dolor A</t>
  </si>
  <si>
    <t>Dolor B</t>
  </si>
  <si>
    <t>Total de puntos recuperados</t>
  </si>
  <si>
    <t>Suficiencia = recuperado ÷ brecha</t>
  </si>
  <si>
    <t>¿Por qué se multiplica "lo que queda"? Porque la segunda iniciativa solo puede resolver lo que la primera dejó.</t>
  </si>
  <si>
    <t>Prueba: cambia la ejecución de Y a 0 % y mira cómo baja la suficiencia.</t>
  </si>
  <si>
    <t>5 · ¿Por qué la suficiencia puede pasar de 100 %?</t>
  </si>
  <si>
    <t>Porque los dolores explican TODO el problema (el pastel), no solo la brecha. Si resuelves más de lo que pide la meta, sobra.</t>
  </si>
  <si>
    <t>Ejemplo: el churn hoy es 2,8 % y la meta 2,0 %. Los dolores explican los 2,8 puntos; basta recuperar 0,8 para cumplir.</t>
  </si>
  <si>
    <t>6 · Glosario</t>
  </si>
  <si>
    <t>Ejecutado</t>
  </si>
  <si>
    <t>Valor real del indicador hoy.</t>
  </si>
  <si>
    <t>Valor ideal</t>
  </si>
  <si>
    <t>El mejor valor posible (normalmente 100 % o 0 %).</t>
  </si>
  <si>
    <t>Problema total (pastel)</t>
  </si>
  <si>
    <t>Distancia entre el ejecutado y el valor ideal.</t>
  </si>
  <si>
    <t>Distancia entre el ejecutado y la meta. Es lo que debes recuperar.</t>
  </si>
  <si>
    <t>Una causa del problema, sacada del análisis de datos del indicador.</t>
  </si>
  <si>
    <t>Prevalencia</t>
  </si>
  <si>
    <t>% de casos que tienen ese dolor. La suma puede pasar de 100 % (un caso puede tener varios dolores).</t>
  </si>
  <si>
    <t>Atribución</t>
  </si>
  <si>
    <t>Parte del pastel que le toca a cada dolor. Siempre suma 100 %.</t>
  </si>
  <si>
    <t>Efectividad</t>
  </si>
  <si>
    <t>% del dolor que la iniciativa resuelve si se hace completa. Lo defines tú, con evidencia.</t>
  </si>
  <si>
    <t>Ejecución</t>
  </si>
  <si>
    <t>% de la iniciativa que de verdad estará lista a 2027 (retrasos o alcance parcial).</t>
  </si>
  <si>
    <t>Suficiencia</t>
  </si>
  <si>
    <t>Puntos recuperados ÷ brecha. 100 % o más = las iniciativas alcanzan.</t>
  </si>
  <si>
    <t>Aporte</t>
  </si>
  <si>
    <t>Cuánto baja la suficiencia si esa iniciativa falla.</t>
  </si>
  <si>
    <t>7 · Qué significan las etiquetas</t>
  </si>
  <si>
    <t>Va bien. Seguimiento normal.</t>
  </si>
  <si>
    <t>Aporta, pero está retrasada o en riesgo. Si falla, la suficiencia cae: dale seguimiento cercano.</t>
  </si>
  <si>
    <t>Casi no aporta (menos del 5 % de la brecha) o su ejecución es 0 %. Cámbiala o rediséñala.</t>
  </si>
  <si>
    <t>Un dolor importante casi no se resuelve. Falta una iniciativa para él.</t>
  </si>
  <si>
    <t>⚠ Sin respaldo</t>
  </si>
  <si>
    <t>Falta la evidencia que justifica el %. Toda cifra debe tener su fuente de datos.</t>
  </si>
  <si>
    <t>8 · Cómo agregar un indicador (3 pasos)</t>
  </si>
  <si>
    <t>1 · Copia la plantilla</t>
  </si>
  <si>
    <t>Clic derecho en la pestaña IND_PLANTILLA &gt; Mover o copiar &gt; Crear una copia. Renómbrala sin espacios (ej. IND03_Disponibilidad).</t>
  </si>
  <si>
    <t>2 · Llena las celdas azules</t>
  </si>
  <si>
    <t>Pasos 1, 2 y 3 de la hoja nueva. El Paso 4 se calcula solo.</t>
  </si>
  <si>
    <t>3 · Agrégala al Resumen</t>
  </si>
  <si>
    <t>En la hoja Resumen, escribe el nombre de la hoja en la siguiente fila libre de la columna B.</t>
  </si>
  <si>
    <t>9 · Reglas para no romper la plantilla</t>
  </si>
  <si>
    <t>• No insertes ni borres filas o columnas en las hojas de indicador (el Resumen las lee por posición).</t>
  </si>
  <si>
    <t>• En el Paso 1 escribe solo números (2,8 y no 2,8 %). En los Pasos 2 y 3 los porcentajes sí llevan % (40 %).</t>
  </si>
  <si>
    <t>• Si cambias una atribución a mano, cámbialas todas para que sumen 100 %.</t>
  </si>
  <si>
    <t>• Máximo 6 dolores y 8 iniciativas por indicador (cabe en una pantalla).</t>
  </si>
  <si>
    <t>• Las hojas están protegidas sin contraseña para cuidar las fórmulas: Revisar &gt; Desproteger hoja.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</si>
</sst>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dd/mm/yyyy"/>
    <numFmt numFmtId="166" formatCode="0.000"/>
    <numFmt numFmtId="167" formatCode="0.000000"/>
  </numFmts>
  <fonts count="13" x14ac:knownFonts="1">
    <font>
      <sz val="10"/>
      <color theme="1"/>
      <name val="Arial"/>
      <family val="2"/>
    </font>
    <font>
      <b/>
      <sz val="16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sz val="10"/>
      <color rgb="FF003399"/>
      <name val="Arial"/>
      <family val="2"/>
    </font>
    <font>
      <b/>
      <sz val="10"/>
      <color rgb="FF9C6500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rgb="FF808080"/>
      <name val="Arial"/>
      <family val="2"/>
    </font>
    <font>
      <b/>
      <sz val="18"/>
      <color rgb="FF1F3864"/>
      <name val="Arial"/>
      <family val="2"/>
    </font>
    <font>
      <b/>
      <sz val="10"/>
      <color rgb="FF003399"/>
      <name val="Arial"/>
      <family val="2"/>
    </font>
    <font>
      <b/>
      <sz val="10"/>
      <color rgb="FFC00000"/>
      <name val="Arial"/>
      <family val="2"/>
    </font>
    <font>
      <b/>
      <sz val="10"/>
      <color rgb="FF0061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0F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2E1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Font="1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5" borderId="1" xfId="0" applyFont="1" applyFill="1" applyBorder="1"/>
    <xf numFmtId="9" fontId="4" fillId="4" borderId="1" xfId="0" applyNumberFormat="1" applyFont="1" applyFill="1" applyBorder="1" applyProtection="1">
      <protection locked="0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6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" xfId="0" applyFont="1" applyFill="1" applyBorder="1" applyAlignment="1" applyProtection="1">
      <alignment vertical="center"/>
      <protection locked="0"/>
    </xf>
    <xf numFmtId="0" fontId="0" fillId="5" borderId="1" xfId="0" applyFont="1" applyFill="1" applyBorder="1" applyAlignment="1">
      <alignment vertical="center"/>
    </xf>
    <xf numFmtId="2" fontId="4" fillId="4" borderId="1" xfId="0" applyNumberFormat="1" applyFont="1" applyFill="1" applyBorder="1" applyAlignment="1" applyProtection="1">
      <alignment vertical="center"/>
      <protection locked="0"/>
    </xf>
    <xf numFmtId="2" fontId="0" fillId="5" borderId="1" xfId="0" applyNumberFormat="1" applyFont="1" applyFill="1" applyBorder="1" applyAlignment="1">
      <alignment vertical="center"/>
    </xf>
    <xf numFmtId="3" fontId="4" fillId="4" borderId="1" xfId="0" applyNumberFormat="1" applyFont="1" applyFill="1" applyBorder="1" applyAlignment="1" applyProtection="1">
      <alignment vertical="center"/>
      <protection locked="0"/>
    </xf>
    <xf numFmtId="2" fontId="3" fillId="5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 applyProtection="1">
      <alignment vertical="center" wrapText="1"/>
      <protection locked="0"/>
    </xf>
    <xf numFmtId="0" fontId="3" fillId="5" borderId="1" xfId="0" applyFont="1" applyFill="1" applyBorder="1" applyAlignment="1">
      <alignment vertical="center"/>
    </xf>
    <xf numFmtId="9" fontId="0" fillId="5" borderId="1" xfId="0" applyNumberFormat="1" applyFont="1" applyFill="1" applyBorder="1" applyAlignment="1">
      <alignment vertical="center"/>
    </xf>
    <xf numFmtId="164" fontId="0" fillId="5" borderId="1" xfId="0" applyNumberFormat="1" applyFont="1" applyFill="1" applyBorder="1" applyAlignment="1">
      <alignment vertical="center"/>
    </xf>
    <xf numFmtId="164" fontId="4" fillId="4" borderId="1" xfId="0" applyNumberFormat="1" applyFont="1" applyFill="1" applyBorder="1" applyAlignment="1" applyProtection="1">
      <alignment vertical="center"/>
      <protection locked="0"/>
    </xf>
    <xf numFmtId="164" fontId="3" fillId="5" borderId="1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9" fontId="4" fillId="4" borderId="1" xfId="0" applyNumberFormat="1" applyFont="1" applyFill="1" applyBorder="1" applyAlignment="1" applyProtection="1">
      <alignment vertical="center"/>
      <protection locked="0"/>
    </xf>
    <xf numFmtId="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9" fontId="3" fillId="5" borderId="1" xfId="0" applyNumberFormat="1" applyFont="1" applyFill="1" applyBorder="1" applyAlignment="1">
      <alignment vertical="center"/>
    </xf>
    <xf numFmtId="2" fontId="0" fillId="5" borderId="1" xfId="0" applyNumberFormat="1" applyFont="1" applyFill="1" applyBorder="1" applyAlignment="1">
      <alignment horizontal="center" vertical="center"/>
    </xf>
    <xf numFmtId="9" fontId="7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0" fillId="5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6" fontId="0" fillId="5" borderId="1" xfId="0" applyNumberFormat="1" applyFont="1" applyFill="1" applyBorder="1" applyAlignment="1">
      <alignment vertical="center"/>
    </xf>
    <xf numFmtId="167" fontId="0" fillId="5" borderId="1" xfId="0" applyNumberFormat="1" applyFont="1" applyFill="1" applyBorder="1" applyAlignment="1">
      <alignment vertical="center"/>
    </xf>
    <xf numFmtId="9" fontId="3" fillId="5" borderId="1" xfId="0" applyNumberFormat="1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2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 customBuiltin="1"/>
  </cellStyles>
  <dxfs count="89"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C00000"/>
      </font>
      <fill>
        <patternFill>
          <bgColor rgb="FFFDE2E1"/>
        </patternFill>
      </fill>
    </dxf>
    <dxf>
      <font>
        <b/>
        <i val="0"/>
        <color rgb="FF9C6500"/>
      </font>
      <fill>
        <patternFill>
          <bgColor rgb="FFFFF2CC"/>
        </patternFill>
      </fill>
    </dxf>
    <dxf>
      <font>
        <b/>
        <i val="0"/>
        <color rgb="FF006100"/>
      </font>
      <fill>
        <patternFill>
          <bgColor rgb="FFE2EFDA"/>
        </patternFill>
      </fill>
    </dxf>
    <dxf>
      <font>
        <b/>
        <i val="0"/>
        <color rgb="FF006100"/>
      </font>
      <fill>
        <patternFill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s-CO"/>
              <a:t>Suficiencia por indicador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 (todo al 100 %)</c:v>
          </c:tx>
          <c:spPr>
            <a:solidFill>
              <a:srgbClr val="9BC2E6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[0]!Res_Cat</c:f>
              <c:strCache>
                <c:ptCount val="2"/>
                <c:pt idx="0">
                  <c:v>Churn mensual pospago</c:v>
                </c:pt>
                <c:pt idx="1">
                  <c:v>Instalaciones en fecha (FTTH)</c:v>
                </c:pt>
              </c:strCache>
            </c:strRef>
          </c:cat>
          <c:val>
            <c:numRef>
              <c:f>[0]!Res_Plan</c:f>
              <c:numCache>
                <c:formatCode>0%</c:formatCode>
                <c:ptCount val="2"/>
                <c:pt idx="0">
                  <c:v>1.3023365384615384</c:v>
                </c:pt>
                <c:pt idx="1">
                  <c:v>1.2632727272727275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C3-4CF2-BA90-67564042D5F0}"/>
            </c:ext>
          </c:extLst>
        </c:ser>
        <c:ser>
          <c:idx val="1"/>
          <c:order val="1"/>
          <c:tx>
            <c:v>Realista</c:v>
          </c:tx>
          <c:spPr>
            <a:solidFill>
              <a:srgbClr val="1F3864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[0]!Res_Cat</c:f>
              <c:strCache>
                <c:ptCount val="2"/>
                <c:pt idx="0">
                  <c:v>Churn mensual pospago</c:v>
                </c:pt>
                <c:pt idx="1">
                  <c:v>Instalaciones en fecha (FTTH)</c:v>
                </c:pt>
              </c:strCache>
            </c:strRef>
          </c:cat>
          <c:val>
            <c:numRef>
              <c:f>[0]!Res_Real</c:f>
              <c:numCache>
                <c:formatCode>0%</c:formatCode>
                <c:ptCount val="2"/>
                <c:pt idx="0">
                  <c:v>0.85430961538461558</c:v>
                </c:pt>
                <c:pt idx="1">
                  <c:v>1.2235090909090913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C3-4CF2-BA90-67564042D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7615424"/>
        <c:axId val="1217615904"/>
      </c:barChart>
      <c:lineChart>
        <c:grouping val="standard"/>
        <c:varyColors val="0"/>
        <c:ser>
          <c:idx val="2"/>
          <c:order val="2"/>
          <c:tx>
            <c:v>100 % = alcanza</c:v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strRef>
              <c:f>[0]!Res_Cat</c:f>
              <c:strCache>
                <c:ptCount val="2"/>
                <c:pt idx="0">
                  <c:v>Churn mensual pospago</c:v>
                </c:pt>
                <c:pt idx="1">
                  <c:v>Instalaciones en fecha (FTTH)</c:v>
                </c:pt>
              </c:strCache>
            </c:strRef>
          </c:cat>
          <c:val>
            <c:numRef>
              <c:f>[0]!Res_Ref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C3-4CF2-BA90-67564042D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615424"/>
        <c:axId val="1217615904"/>
      </c:lineChart>
      <c:catAx>
        <c:axId val="121761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7615904"/>
        <c:crosses val="autoZero"/>
        <c:auto val="1"/>
        <c:lblAlgn val="ctr"/>
        <c:lblOffset val="100"/>
        <c:noMultiLvlLbl val="0"/>
      </c:catAx>
      <c:valAx>
        <c:axId val="1217615904"/>
        <c:scaling>
          <c:orientation val="minMax"/>
          <c:min val="0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217615424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s-CO"/>
              <a:t>¿Dónde quedaría el indicador en 2027?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2-9281-4B5E-9BB7-5EEEC47CD994}"/>
              </c:ext>
            </c:extLst>
          </c:dPt>
          <c:dPt>
            <c:idx val="1"/>
            <c:invertIfNegative val="0"/>
            <c:bubble3D val="0"/>
            <c:spPr>
              <a:solidFill>
                <a:srgbClr val="1F3864"/>
              </a:solidFill>
            </c:spPr>
            <c:extLst>
              <c:ext xmlns:c16="http://schemas.microsoft.com/office/drawing/2014/chart" uri="{C3380CC4-5D6E-409C-BE32-E72D297353CC}">
                <c16:uniqueId val="{00000003-9281-4B5E-9BB7-5EEEC47CD994}"/>
              </c:ext>
            </c:extLst>
          </c:dPt>
          <c:dPt>
            <c:idx val="2"/>
            <c:invertIfNegative val="0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4-9281-4B5E-9BB7-5EEEC47CD994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5-9281-4B5E-9BB7-5EEEC47CD994}"/>
              </c:ext>
            </c:extLst>
          </c:dPt>
          <c:dLbls>
            <c:numFmt formatCode="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IND01_Churn!$B$124:$B$127</c:f>
              <c:strCache>
                <c:ptCount val="4"/>
                <c:pt idx="0">
                  <c:v>Ejecutado hoy</c:v>
                </c:pt>
                <c:pt idx="1">
                  <c:v>Proyectado realista</c:v>
                </c:pt>
                <c:pt idx="2">
                  <c:v>Proyectado plan</c:v>
                </c:pt>
                <c:pt idx="3">
                  <c:v>Meta 2027</c:v>
                </c:pt>
              </c:strCache>
            </c:strRef>
          </c:cat>
          <c:val>
            <c:numRef>
              <c:f>IND01_Churn!$C$124:$C$127</c:f>
              <c:numCache>
                <c:formatCode>0.00</c:formatCode>
                <c:ptCount val="4"/>
                <c:pt idx="0">
                  <c:v>2.8</c:v>
                </c:pt>
                <c:pt idx="1">
                  <c:v>2.1165523076923076</c:v>
                </c:pt>
                <c:pt idx="2">
                  <c:v>1.7581307692307693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1-4B5E-9BB7-5EEEC47CD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1331136"/>
        <c:axId val="1217089920"/>
      </c:barChart>
      <c:catAx>
        <c:axId val="121133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7089920"/>
        <c:crosses val="autoZero"/>
        <c:auto val="1"/>
        <c:lblAlgn val="ctr"/>
        <c:lblOffset val="100"/>
        <c:noMultiLvlLbl val="0"/>
      </c:catAx>
      <c:valAx>
        <c:axId val="12170899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11331136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s-CO"/>
              <a:t>¿Dónde quedaría el indicador en 2027?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2-BAE2-468D-AFC5-7A4462B4C5D7}"/>
              </c:ext>
            </c:extLst>
          </c:dPt>
          <c:dPt>
            <c:idx val="1"/>
            <c:invertIfNegative val="0"/>
            <c:bubble3D val="0"/>
            <c:spPr>
              <a:solidFill>
                <a:srgbClr val="1F3864"/>
              </a:solidFill>
            </c:spPr>
            <c:extLst>
              <c:ext xmlns:c16="http://schemas.microsoft.com/office/drawing/2014/chart" uri="{C3380CC4-5D6E-409C-BE32-E72D297353CC}">
                <c16:uniqueId val="{00000003-BAE2-468D-AFC5-7A4462B4C5D7}"/>
              </c:ext>
            </c:extLst>
          </c:dPt>
          <c:dPt>
            <c:idx val="2"/>
            <c:invertIfNegative val="0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4-BAE2-468D-AFC5-7A4462B4C5D7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5-BAE2-468D-AFC5-7A4462B4C5D7}"/>
              </c:ext>
            </c:extLst>
          </c:dPt>
          <c:dLbls>
            <c:numFmt formatCode="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IND02_Instalaciones!$B$124:$B$127</c:f>
              <c:strCache>
                <c:ptCount val="4"/>
                <c:pt idx="0">
                  <c:v>Ejecutado hoy</c:v>
                </c:pt>
                <c:pt idx="1">
                  <c:v>Proyectado realista</c:v>
                </c:pt>
                <c:pt idx="2">
                  <c:v>Proyectado plan</c:v>
                </c:pt>
                <c:pt idx="3">
                  <c:v>Meta 2027</c:v>
                </c:pt>
              </c:strCache>
            </c:strRef>
          </c:cat>
          <c:val>
            <c:numRef>
              <c:f>IND02_Instalaciones!$C$124:$C$127</c:f>
              <c:numCache>
                <c:formatCode>0.00</c:formatCode>
                <c:ptCount val="4"/>
                <c:pt idx="0">
                  <c:v>82</c:v>
                </c:pt>
                <c:pt idx="1">
                  <c:v>94.235090909090914</c:v>
                </c:pt>
                <c:pt idx="2">
                  <c:v>94.63272727272728</c:v>
                </c:pt>
                <c:pt idx="3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E2-468D-AFC5-7A4462B4C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7090880"/>
        <c:axId val="1217091360"/>
      </c:barChart>
      <c:catAx>
        <c:axId val="121709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7091360"/>
        <c:crosses val="autoZero"/>
        <c:auto val="1"/>
        <c:lblAlgn val="ctr"/>
        <c:lblOffset val="100"/>
        <c:noMultiLvlLbl val="0"/>
      </c:catAx>
      <c:valAx>
        <c:axId val="12170913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17090880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s-CO"/>
              <a:t>¿Dónde quedaría el indicador en 2027?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2-5D13-4FDC-8886-6BFB94827664}"/>
              </c:ext>
            </c:extLst>
          </c:dPt>
          <c:dPt>
            <c:idx val="1"/>
            <c:invertIfNegative val="0"/>
            <c:bubble3D val="0"/>
            <c:spPr>
              <a:solidFill>
                <a:srgbClr val="1F3864"/>
              </a:solidFill>
            </c:spPr>
            <c:extLst>
              <c:ext xmlns:c16="http://schemas.microsoft.com/office/drawing/2014/chart" uri="{C3380CC4-5D6E-409C-BE32-E72D297353CC}">
                <c16:uniqueId val="{00000003-5D13-4FDC-8886-6BFB94827664}"/>
              </c:ext>
            </c:extLst>
          </c:dPt>
          <c:dPt>
            <c:idx val="2"/>
            <c:invertIfNegative val="0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4-5D13-4FDC-8886-6BFB94827664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5-5D13-4FDC-8886-6BFB94827664}"/>
              </c:ext>
            </c:extLst>
          </c:dPt>
          <c:dLbls>
            <c:numFmt formatCode="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IND_PLANTILLA!$B$124:$B$127</c:f>
              <c:strCache>
                <c:ptCount val="4"/>
                <c:pt idx="0">
                  <c:v>Ejecutado hoy</c:v>
                </c:pt>
                <c:pt idx="1">
                  <c:v>Proyectado realista</c:v>
                </c:pt>
                <c:pt idx="2">
                  <c:v>Proyectado plan</c:v>
                </c:pt>
                <c:pt idx="3">
                  <c:v>Meta 2027</c:v>
                </c:pt>
              </c:strCache>
            </c:strRef>
          </c:cat>
          <c:val>
            <c:numRef>
              <c:f>IND_PLANTILLA!$C$124:$C$127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3-4FDC-8886-6BFB94827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7618304"/>
        <c:axId val="1217614944"/>
      </c:barChart>
      <c:catAx>
        <c:axId val="121761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7614944"/>
        <c:crosses val="autoZero"/>
        <c:auto val="1"/>
        <c:lblAlgn val="ctr"/>
        <c:lblOffset val="100"/>
        <c:noMultiLvlLbl val="0"/>
      </c:catAx>
      <c:valAx>
        <c:axId val="12176149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17618304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50800</xdr:rowOff>
    </xdr:from>
    <xdr:to>
      <xdr:col>7</xdr:col>
      <xdr:colOff>546100</xdr:colOff>
      <xdr:row>34</xdr:row>
      <xdr:rowOff>66040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9777BD-3853-F961-C003-7F88F8AC3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39</xdr:row>
      <xdr:rowOff>0</xdr:rowOff>
    </xdr:from>
    <xdr:to>
      <xdr:col>12</xdr:col>
      <xdr:colOff>2611120</xdr:colOff>
      <xdr:row>54</xdr:row>
      <xdr:rowOff>5080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556E88-3CB0-DE28-F626-30FE1DFD5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39</xdr:row>
      <xdr:rowOff>0</xdr:rowOff>
    </xdr:from>
    <xdr:to>
      <xdr:col>12</xdr:col>
      <xdr:colOff>2611120</xdr:colOff>
      <xdr:row>54</xdr:row>
      <xdr:rowOff>5080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98E21A-4FE5-6858-A2A6-9DA861456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39</xdr:row>
      <xdr:rowOff>0</xdr:rowOff>
    </xdr:from>
    <xdr:to>
      <xdr:col>12</xdr:col>
      <xdr:colOff>2611120</xdr:colOff>
      <xdr:row>54</xdr:row>
      <xdr:rowOff>5080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8DA3CC-0E46-A43D-A266-5D4FB6E35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A2A9-AF50-42DB-ABF4-2A2AEC3B309C}">
  <sheetPr>
    <tabColor rgb="FF008000"/>
  </sheetPr>
  <dimension ref="A1:J77"/>
  <sheetViews>
    <sheetView showGridLines="0" tabSelected="1" zoomScaleNormal="100" workbookViewId="0"/>
  </sheetViews>
  <sheetFormatPr baseColWidth="10" defaultRowHeight="13.2" x14ac:dyDescent="0.25"/>
  <cols>
    <col min="1" max="1" width="3.77734375" style="7" customWidth="1"/>
    <col min="2" max="2" width="34.77734375" style="7" customWidth="1"/>
    <col min="3" max="10" width="13.77734375" style="7" customWidth="1"/>
    <col min="11" max="16384" width="11.5546875" style="7"/>
  </cols>
  <sheetData>
    <row r="1" spans="1:10" ht="22.8" x14ac:dyDescent="0.25">
      <c r="A1" s="43" t="s">
        <v>203</v>
      </c>
    </row>
    <row r="2" spans="1:10" x14ac:dyDescent="0.25">
      <c r="A2" s="7" t="s">
        <v>204</v>
      </c>
    </row>
    <row r="4" spans="1:10" ht="22.05" customHeight="1" x14ac:dyDescent="0.25">
      <c r="A4" s="3" t="s">
        <v>205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B5" s="7" t="s">
        <v>206</v>
      </c>
    </row>
    <row r="6" spans="1:10" x14ac:dyDescent="0.25">
      <c r="B6" s="7" t="s">
        <v>207</v>
      </c>
    </row>
    <row r="7" spans="1:10" x14ac:dyDescent="0.25">
      <c r="B7" s="7" t="s">
        <v>208</v>
      </c>
    </row>
    <row r="8" spans="1:10" x14ac:dyDescent="0.25">
      <c r="B8" s="7" t="s">
        <v>209</v>
      </c>
    </row>
    <row r="9" spans="1:10" x14ac:dyDescent="0.25">
      <c r="B9" s="7" t="s">
        <v>210</v>
      </c>
    </row>
    <row r="10" spans="1:10" x14ac:dyDescent="0.25">
      <c r="B10" s="12" t="s">
        <v>211</v>
      </c>
    </row>
    <row r="12" spans="1:10" ht="22.05" customHeight="1" x14ac:dyDescent="0.25">
      <c r="A12" s="3" t="s">
        <v>212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B13" s="12" t="s">
        <v>213</v>
      </c>
      <c r="C13" s="7" t="s">
        <v>214</v>
      </c>
    </row>
    <row r="14" spans="1:10" x14ac:dyDescent="0.25">
      <c r="B14" s="12" t="s">
        <v>215</v>
      </c>
      <c r="C14" s="7" t="s">
        <v>216</v>
      </c>
    </row>
    <row r="15" spans="1:10" x14ac:dyDescent="0.25">
      <c r="B15" s="12" t="s">
        <v>217</v>
      </c>
      <c r="C15" s="7" t="s">
        <v>218</v>
      </c>
    </row>
    <row r="16" spans="1:10" x14ac:dyDescent="0.25">
      <c r="B16" s="12" t="s">
        <v>219</v>
      </c>
      <c r="C16" s="7" t="s">
        <v>220</v>
      </c>
    </row>
    <row r="18" spans="1:10" ht="22.05" customHeight="1" x14ac:dyDescent="0.25">
      <c r="A18" s="3" t="s">
        <v>221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B19" s="44" t="s">
        <v>222</v>
      </c>
      <c r="C19" s="7" t="s">
        <v>223</v>
      </c>
    </row>
    <row r="20" spans="1:10" x14ac:dyDescent="0.25">
      <c r="B20" s="45" t="s">
        <v>224</v>
      </c>
      <c r="C20" s="7" t="s">
        <v>225</v>
      </c>
    </row>
    <row r="21" spans="1:10" x14ac:dyDescent="0.25">
      <c r="B21" s="46" t="s">
        <v>226</v>
      </c>
      <c r="C21" s="7" t="s">
        <v>227</v>
      </c>
    </row>
    <row r="22" spans="1:10" x14ac:dyDescent="0.25">
      <c r="B22" s="47" t="s">
        <v>228</v>
      </c>
      <c r="C22" s="7" t="s">
        <v>229</v>
      </c>
    </row>
    <row r="24" spans="1:10" ht="22.05" customHeight="1" x14ac:dyDescent="0.25">
      <c r="A24" s="3" t="s">
        <v>230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B25" s="12" t="s">
        <v>231</v>
      </c>
      <c r="C25" s="13">
        <v>10</v>
      </c>
      <c r="D25" s="7" t="s">
        <v>232</v>
      </c>
    </row>
    <row r="26" spans="1:10" x14ac:dyDescent="0.25">
      <c r="B26" s="12" t="s">
        <v>233</v>
      </c>
      <c r="C26" s="13">
        <v>4</v>
      </c>
      <c r="D26" s="7" t="s">
        <v>232</v>
      </c>
    </row>
    <row r="27" spans="1:10" x14ac:dyDescent="0.25">
      <c r="B27" s="12" t="s">
        <v>234</v>
      </c>
      <c r="C27" s="26">
        <v>1</v>
      </c>
    </row>
    <row r="28" spans="1:10" x14ac:dyDescent="0.25">
      <c r="B28" s="12" t="s">
        <v>235</v>
      </c>
      <c r="C28" s="26">
        <v>0.5</v>
      </c>
    </row>
    <row r="30" spans="1:10" ht="31.95" customHeight="1" x14ac:dyDescent="0.25">
      <c r="B30" s="4" t="s">
        <v>236</v>
      </c>
      <c r="C30" s="4" t="s">
        <v>237</v>
      </c>
      <c r="D30" s="4" t="s">
        <v>238</v>
      </c>
      <c r="E30" s="4" t="s">
        <v>239</v>
      </c>
      <c r="F30" s="4" t="s">
        <v>240</v>
      </c>
      <c r="G30" s="4" t="s">
        <v>241</v>
      </c>
      <c r="H30" s="4" t="s">
        <v>242</v>
      </c>
      <c r="I30" s="4" t="s">
        <v>243</v>
      </c>
      <c r="J30" s="4" t="s">
        <v>86</v>
      </c>
    </row>
    <row r="31" spans="1:10" x14ac:dyDescent="0.25">
      <c r="B31" s="13" t="s">
        <v>244</v>
      </c>
      <c r="C31" s="27">
        <v>0.6</v>
      </c>
      <c r="D31" s="27">
        <v>0.5</v>
      </c>
      <c r="E31" s="27">
        <v>0.2</v>
      </c>
      <c r="F31" s="34">
        <f t="shared" ref="F31:F32" si="0">D31*$C$27</f>
        <v>0.5</v>
      </c>
      <c r="G31" s="34">
        <f t="shared" ref="G31:G32" si="1">E31*$C$28</f>
        <v>0.1</v>
      </c>
      <c r="H31" s="34">
        <f t="shared" ref="H31:H32" si="2">(1-F31)*(1-G31)</f>
        <v>0.45</v>
      </c>
      <c r="I31" s="34">
        <f t="shared" ref="I31:I32" si="3">1-H31</f>
        <v>0.55000000000000004</v>
      </c>
      <c r="J31" s="31">
        <f t="shared" ref="J31:J32" si="4">$C$25*C31*I31</f>
        <v>3.3000000000000003</v>
      </c>
    </row>
    <row r="32" spans="1:10" x14ac:dyDescent="0.25">
      <c r="B32" s="13" t="s">
        <v>245</v>
      </c>
      <c r="C32" s="27">
        <v>0.4</v>
      </c>
      <c r="D32" s="27">
        <v>0</v>
      </c>
      <c r="E32" s="27">
        <v>0.5</v>
      </c>
      <c r="F32" s="34">
        <f t="shared" si="0"/>
        <v>0</v>
      </c>
      <c r="G32" s="34">
        <f t="shared" si="1"/>
        <v>0.25</v>
      </c>
      <c r="H32" s="34">
        <f t="shared" si="2"/>
        <v>0.75</v>
      </c>
      <c r="I32" s="34">
        <f t="shared" si="3"/>
        <v>0.25</v>
      </c>
      <c r="J32" s="31">
        <f t="shared" si="4"/>
        <v>1</v>
      </c>
    </row>
    <row r="33" spans="1:10" x14ac:dyDescent="0.25">
      <c r="B33" s="12" t="s">
        <v>246</v>
      </c>
      <c r="J33" s="48">
        <f>SUM(J31:J32)</f>
        <v>4.3000000000000007</v>
      </c>
    </row>
    <row r="34" spans="1:10" x14ac:dyDescent="0.25">
      <c r="B34" s="12" t="s">
        <v>247</v>
      </c>
      <c r="J34" s="40">
        <f>IF(C26=0,0,J33/C26)</f>
        <v>1.0750000000000002</v>
      </c>
    </row>
    <row r="35" spans="1:10" x14ac:dyDescent="0.25">
      <c r="B35" s="12" t="s">
        <v>84</v>
      </c>
      <c r="J35" s="33" t="str">
        <f>LOOKUP(J34,Semaforo_Desde,Semaforo_Color)</f>
        <v>VERDE</v>
      </c>
    </row>
    <row r="37" spans="1:10" x14ac:dyDescent="0.25">
      <c r="B37" s="12" t="str">
        <f>"Resultado: las iniciativas recuperan "&amp;FIXED(J33,1)&amp;" puntos de una brecha de "&amp;FIXED(C26,1)&amp;"  →  suficiencia "&amp;FIXED(J34*100,0)&amp;" %."</f>
        <v>Resultado: las iniciativas recuperan 4,3 puntos de una brecha de 4,0  →  suficiencia 108 %.</v>
      </c>
    </row>
    <row r="38" spans="1:10" x14ac:dyDescent="0.25">
      <c r="B38" s="7" t="s">
        <v>248</v>
      </c>
    </row>
    <row r="39" spans="1:10" x14ac:dyDescent="0.25">
      <c r="B39" s="7" t="str">
        <f>"En el dolor A: X deja el "&amp;FIXED((1-F31)*100,0)&amp;" %; luego Y deja el "&amp;FIXED((1-G31)*100,0)&amp;" % de eso  →  queda "&amp;FIXED(H31*100,0)&amp;" %  →  se resolvió el "&amp;FIXED(I31*100,0)&amp;" %. Así un dolor nunca pasa de 100 %."</f>
        <v>En el dolor A: X deja el 50 %; luego Y deja el 90 % de eso  →  queda 45 %  →  se resolvió el 55 %. Así un dolor nunca pasa de 100 %.</v>
      </c>
    </row>
    <row r="40" spans="1:10" x14ac:dyDescent="0.25">
      <c r="B40" s="7" t="s">
        <v>249</v>
      </c>
    </row>
    <row r="42" spans="1:10" ht="22.05" customHeight="1" x14ac:dyDescent="0.25">
      <c r="A42" s="3" t="s">
        <v>250</v>
      </c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5">
      <c r="B43" s="7" t="s">
        <v>251</v>
      </c>
    </row>
    <row r="44" spans="1:10" x14ac:dyDescent="0.25">
      <c r="B44" s="7" t="s">
        <v>252</v>
      </c>
    </row>
    <row r="46" spans="1:10" ht="22.05" customHeight="1" x14ac:dyDescent="0.25">
      <c r="A46" s="3" t="s">
        <v>253</v>
      </c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5">
      <c r="B47" s="12" t="s">
        <v>254</v>
      </c>
      <c r="C47" s="7" t="s">
        <v>255</v>
      </c>
    </row>
    <row r="48" spans="1:10" x14ac:dyDescent="0.25">
      <c r="B48" s="12" t="s">
        <v>38</v>
      </c>
      <c r="C48" s="7" t="s">
        <v>44</v>
      </c>
    </row>
    <row r="49" spans="1:10" x14ac:dyDescent="0.25">
      <c r="B49" s="12" t="s">
        <v>256</v>
      </c>
      <c r="C49" s="7" t="s">
        <v>257</v>
      </c>
    </row>
    <row r="50" spans="1:10" x14ac:dyDescent="0.25">
      <c r="B50" s="12" t="s">
        <v>258</v>
      </c>
      <c r="C50" s="7" t="s">
        <v>259</v>
      </c>
    </row>
    <row r="51" spans="1:10" x14ac:dyDescent="0.25">
      <c r="B51" s="12" t="s">
        <v>176</v>
      </c>
      <c r="C51" s="7" t="s">
        <v>260</v>
      </c>
    </row>
    <row r="52" spans="1:10" x14ac:dyDescent="0.25">
      <c r="B52" s="12" t="s">
        <v>236</v>
      </c>
      <c r="C52" s="7" t="s">
        <v>261</v>
      </c>
    </row>
    <row r="53" spans="1:10" x14ac:dyDescent="0.25">
      <c r="B53" s="12" t="s">
        <v>262</v>
      </c>
      <c r="C53" s="7" t="s">
        <v>263</v>
      </c>
    </row>
    <row r="54" spans="1:10" x14ac:dyDescent="0.25">
      <c r="B54" s="12" t="s">
        <v>264</v>
      </c>
      <c r="C54" s="7" t="s">
        <v>265</v>
      </c>
    </row>
    <row r="55" spans="1:10" x14ac:dyDescent="0.25">
      <c r="B55" s="12" t="s">
        <v>266</v>
      </c>
      <c r="C55" s="7" t="s">
        <v>267</v>
      </c>
    </row>
    <row r="56" spans="1:10" x14ac:dyDescent="0.25">
      <c r="B56" s="12" t="s">
        <v>268</v>
      </c>
      <c r="C56" s="7" t="s">
        <v>269</v>
      </c>
    </row>
    <row r="57" spans="1:10" x14ac:dyDescent="0.25">
      <c r="B57" s="12" t="s">
        <v>270</v>
      </c>
      <c r="C57" s="7" t="s">
        <v>271</v>
      </c>
    </row>
    <row r="58" spans="1:10" x14ac:dyDescent="0.25">
      <c r="B58" s="12" t="s">
        <v>272</v>
      </c>
      <c r="C58" s="7" t="s">
        <v>273</v>
      </c>
    </row>
    <row r="60" spans="1:10" ht="22.05" customHeight="1" x14ac:dyDescent="0.25">
      <c r="A60" s="3" t="s">
        <v>274</v>
      </c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B61" s="25" t="s">
        <v>195</v>
      </c>
      <c r="C61" s="7" t="s">
        <v>275</v>
      </c>
    </row>
    <row r="62" spans="1:10" x14ac:dyDescent="0.25">
      <c r="B62" s="25" t="s">
        <v>197</v>
      </c>
      <c r="C62" s="7" t="s">
        <v>276</v>
      </c>
    </row>
    <row r="63" spans="1:10" x14ac:dyDescent="0.25">
      <c r="B63" s="25" t="s">
        <v>199</v>
      </c>
      <c r="C63" s="7" t="s">
        <v>277</v>
      </c>
    </row>
    <row r="64" spans="1:10" x14ac:dyDescent="0.25">
      <c r="B64" s="25" t="s">
        <v>201</v>
      </c>
      <c r="C64" s="7" t="s">
        <v>278</v>
      </c>
    </row>
    <row r="65" spans="1:10" x14ac:dyDescent="0.25">
      <c r="B65" s="25" t="s">
        <v>279</v>
      </c>
      <c r="C65" s="7" t="s">
        <v>280</v>
      </c>
    </row>
    <row r="67" spans="1:10" ht="22.05" customHeight="1" x14ac:dyDescent="0.25">
      <c r="A67" s="3" t="s">
        <v>281</v>
      </c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B68" s="12" t="s">
        <v>282</v>
      </c>
      <c r="C68" s="7" t="s">
        <v>283</v>
      </c>
    </row>
    <row r="69" spans="1:10" x14ac:dyDescent="0.25">
      <c r="B69" s="12" t="s">
        <v>284</v>
      </c>
      <c r="C69" s="7" t="s">
        <v>285</v>
      </c>
    </row>
    <row r="70" spans="1:10" x14ac:dyDescent="0.25">
      <c r="B70" s="12" t="s">
        <v>286</v>
      </c>
      <c r="C70" s="7" t="s">
        <v>287</v>
      </c>
    </row>
    <row r="72" spans="1:10" ht="22.05" customHeight="1" x14ac:dyDescent="0.25">
      <c r="A72" s="3" t="s">
        <v>288</v>
      </c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B73" s="7" t="s">
        <v>289</v>
      </c>
    </row>
    <row r="74" spans="1:10" x14ac:dyDescent="0.25">
      <c r="B74" s="7" t="s">
        <v>290</v>
      </c>
    </row>
    <row r="75" spans="1:10" x14ac:dyDescent="0.25">
      <c r="B75" s="7" t="s">
        <v>291</v>
      </c>
    </row>
    <row r="76" spans="1:10" x14ac:dyDescent="0.25">
      <c r="B76" s="7" t="s">
        <v>292</v>
      </c>
    </row>
    <row r="77" spans="1:10" x14ac:dyDescent="0.25">
      <c r="B77" s="7" t="s">
        <v>293</v>
      </c>
    </row>
  </sheetData>
  <sheetProtection sheet="1" objects="1" scenarios="1" formatCells="0" formatColumns="0" formatRows="0"/>
  <conditionalFormatting sqref="J35">
    <cfRule type="containsText" dxfId="8" priority="1" stopIfTrue="1" operator="containsText" text="VERDE">
      <formula>NOT(ISERROR(SEARCH("VERDE",J35)))</formula>
    </cfRule>
    <cfRule type="containsText" dxfId="7" priority="2" stopIfTrue="1" operator="containsText" text="META CUMPLIDA">
      <formula>NOT(ISERROR(SEARCH("META CUMPLIDA",J35)))</formula>
    </cfRule>
    <cfRule type="containsText" dxfId="6" priority="3" stopIfTrue="1" operator="containsText" text="AMARILLO">
      <formula>NOT(ISERROR(SEARCH("AMARILLO",J35)))</formula>
    </cfRule>
    <cfRule type="containsText" dxfId="5" priority="4" stopIfTrue="1" operator="containsText" text="ROJO">
      <formula>NOT(ISERROR(SEARCH("ROJO",J35)))</formula>
    </cfRule>
  </conditionalFormatting>
  <conditionalFormatting sqref="B61:B63">
    <cfRule type="containsText" dxfId="4" priority="5" stopIfTrue="1" operator="containsText" text="REEMPLAZAR">
      <formula>NOT(ISERROR(SEARCH("REEMPLAZAR",B61)))</formula>
    </cfRule>
    <cfRule type="containsText" dxfId="3" priority="6" stopIfTrue="1" operator="containsText" text="EN RIESGO">
      <formula>NOT(ISERROR(SEARCH("EN RIESGO",B61)))</formula>
    </cfRule>
    <cfRule type="containsText" dxfId="2" priority="7" stopIfTrue="1" operator="containsText" text="APORTA">
      <formula>NOT(ISERROR(SEARCH("APORTA",B61)))</formula>
    </cfRule>
  </conditionalFormatting>
  <conditionalFormatting sqref="B64:B65">
    <cfRule type="containsText" dxfId="1" priority="8" stopIfTrue="1" operator="containsText" text="⚠">
      <formula>NOT(ISERROR(SEARCH("⚠",B64)))</formula>
    </cfRule>
    <cfRule type="containsText" dxfId="0" priority="9" stopIfTrue="1" operator="containsText" text="✔">
      <formula>NOT(ISERROR(SEARCH("✔",B64)))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130F-F82E-477F-A7E2-DA4806CED555}">
  <sheetPr>
    <tabColor rgb="FF1F3864"/>
  </sheetPr>
  <dimension ref="A1:Q52"/>
  <sheetViews>
    <sheetView showGridLines="0" zoomScale="90" zoomScaleNormal="90" workbookViewId="0"/>
  </sheetViews>
  <sheetFormatPr baseColWidth="10" defaultRowHeight="13.2" x14ac:dyDescent="0.25"/>
  <cols>
    <col min="1" max="1" width="8.77734375" style="7" customWidth="1"/>
    <col min="2" max="2" width="40.77734375" style="7" customWidth="1"/>
    <col min="3" max="3" width="30.77734375" style="7" customWidth="1"/>
    <col min="4" max="5" width="11.77734375" style="7" customWidth="1"/>
    <col min="6" max="6" width="14.77734375" style="7" customWidth="1"/>
    <col min="7" max="7" width="11.77734375" style="7" customWidth="1"/>
    <col min="8" max="12" width="12.77734375" style="7" customWidth="1"/>
    <col min="13" max="13" width="15.77734375" style="7" customWidth="1"/>
    <col min="14" max="14" width="30.77734375" style="7" customWidth="1"/>
    <col min="15" max="16" width="13.77734375" style="7" customWidth="1"/>
    <col min="17" max="17" width="10.77734375" style="7" customWidth="1"/>
    <col min="18" max="16384" width="11.5546875" style="7"/>
  </cols>
  <sheetData>
    <row r="1" spans="1:17" ht="21" x14ac:dyDescent="0.25">
      <c r="A1" s="8" t="s">
        <v>172</v>
      </c>
    </row>
    <row r="2" spans="1:17" x14ac:dyDescent="0.25">
      <c r="A2" s="7" t="s">
        <v>173</v>
      </c>
    </row>
    <row r="3" spans="1:17" x14ac:dyDescent="0.25">
      <c r="A3" s="11" t="s">
        <v>174</v>
      </c>
    </row>
    <row r="4" spans="1:17" ht="22.05" customHeight="1" x14ac:dyDescent="0.25">
      <c r="A4" s="3" t="s">
        <v>175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43.95" customHeight="1" x14ac:dyDescent="0.25">
      <c r="A5" s="4" t="s">
        <v>66</v>
      </c>
      <c r="B5" s="4" t="s">
        <v>180</v>
      </c>
      <c r="C5" s="4" t="s">
        <v>184</v>
      </c>
      <c r="D5" s="4" t="s">
        <v>40</v>
      </c>
      <c r="E5" s="4" t="s">
        <v>117</v>
      </c>
      <c r="F5" s="4" t="s">
        <v>38</v>
      </c>
      <c r="G5" s="4" t="s">
        <v>176</v>
      </c>
      <c r="H5" s="4" t="s">
        <v>182</v>
      </c>
      <c r="I5" s="4" t="s">
        <v>177</v>
      </c>
      <c r="J5" s="4" t="s">
        <v>183</v>
      </c>
      <c r="K5" s="4" t="s">
        <v>187</v>
      </c>
      <c r="L5" s="4" t="s">
        <v>185</v>
      </c>
      <c r="M5" s="4" t="s">
        <v>186</v>
      </c>
      <c r="N5" s="4" t="s">
        <v>88</v>
      </c>
      <c r="O5" s="4" t="s">
        <v>178</v>
      </c>
      <c r="P5" s="4" t="s">
        <v>181</v>
      </c>
      <c r="Q5" s="4" t="s">
        <v>179</v>
      </c>
    </row>
    <row r="6" spans="1:17" x14ac:dyDescent="0.25">
      <c r="A6" s="25">
        <v>1</v>
      </c>
      <c r="B6" s="13" t="s">
        <v>188</v>
      </c>
      <c r="C6" s="14" t="str">
        <f t="shared" ref="C6:C15" ca="1" si="0">IF($B6="","",IFERROR(INDIRECT("'"&amp;$B6&amp;"'!C5"),"⚠ Hoja no encontrada"))</f>
        <v>Churn mensual pospago</v>
      </c>
      <c r="D6" s="35" t="str">
        <f t="shared" ref="D6:D15" ca="1" si="1">IF($B6="","",IFERROR(INDIRECT("'"&amp;$B6&amp;"'!C7"),""))</f>
        <v>%</v>
      </c>
      <c r="E6" s="31">
        <f t="shared" ref="E6:E15" ca="1" si="2">IF($B6="","",IFERROR(INDIRECT("'"&amp;$B6&amp;"'!C8"),""))</f>
        <v>2.8</v>
      </c>
      <c r="F6" s="31">
        <f t="shared" ref="F6:F15" ca="1" si="3">IF($B6="","",IFERROR(INDIRECT("'"&amp;$B6&amp;"'!C9"),""))</f>
        <v>2</v>
      </c>
      <c r="G6" s="31">
        <f t="shared" ref="G6:G15" ca="1" si="4">IF($B6="","",IFERROR(INDIRECT("'"&amp;$B6&amp;"'!C12"),""))</f>
        <v>0.79999999999999982</v>
      </c>
      <c r="H6" s="31">
        <f t="shared" ref="H6:H15" ca="1" si="5">IF($B6="","",IFERROR(INDIRECT("'"&amp;$B6&amp;"'!C44"),""))</f>
        <v>1.7581307692307693</v>
      </c>
      <c r="I6" s="31">
        <f t="shared" ref="I6:I15" ca="1" si="6">IF($B6="","",IFERROR(INDIRECT("'"&amp;$B6&amp;"'!D44"),""))</f>
        <v>2.1165523076923076</v>
      </c>
      <c r="J6" s="31">
        <f t="shared" ref="J6:J15" ca="1" si="7">IF($B6="","",IFERROR(INDIRECT("'"&amp;$B6&amp;"'!D45"),""))</f>
        <v>0.11655230769230751</v>
      </c>
      <c r="K6" s="40">
        <f t="shared" ref="K6:K15" ca="1" si="8">IF($B6="","",IFERROR(INDIRECT("'"&amp;$B6&amp;"'!C42"),""))</f>
        <v>1.3023365384615384</v>
      </c>
      <c r="L6" s="40">
        <f t="shared" ref="L6:L15" ca="1" si="9">IF($B6="","",IFERROR(INDIRECT("'"&amp;$B6&amp;"'!D42"),""))</f>
        <v>0.85430961538461558</v>
      </c>
      <c r="M6" s="33" t="str">
        <f t="shared" ref="M6:M15" ca="1" si="10">IF($B6="","",IFERROR(INDIRECT("'"&amp;$B6&amp;"'!D43"),""))</f>
        <v>AMARILLO</v>
      </c>
      <c r="N6" s="14" t="str">
        <f t="shared" ref="N6:N15" ca="1" si="11">IF($B6="","",IFERROR(INDIRECT("'"&amp;$B6&amp;"'!C133"),""))</f>
        <v>Precio / oferta de la competencia</v>
      </c>
      <c r="O6" s="35">
        <f t="shared" ref="O6:O15" ca="1" si="12">IF($B6="","",IFERROR(COUNTIF(INDIRECT("'"&amp;$B6&amp;"'!F58:F65"),"REEMPLAZAR"),""))</f>
        <v>1</v>
      </c>
      <c r="P6" s="35">
        <f t="shared" ref="P6:P15" ca="1" si="13">IF($B6="","",IFERROR(COUNTIF(INDIRECT("'"&amp;$B6&amp;"'!F58:F65"),"EN RIESGO"),""))</f>
        <v>2</v>
      </c>
      <c r="Q6" s="41">
        <f t="shared" ref="Q6:Q15" si="14">IF($B6="","",1)</f>
        <v>1</v>
      </c>
    </row>
    <row r="7" spans="1:17" x14ac:dyDescent="0.25">
      <c r="A7" s="25">
        <v>2</v>
      </c>
      <c r="B7" s="13" t="s">
        <v>189</v>
      </c>
      <c r="C7" s="14" t="str">
        <f t="shared" ca="1" si="0"/>
        <v>Instalaciones en fecha (FTTH)</v>
      </c>
      <c r="D7" s="35" t="str">
        <f t="shared" ca="1" si="1"/>
        <v>%</v>
      </c>
      <c r="E7" s="31">
        <f t="shared" ca="1" si="2"/>
        <v>82</v>
      </c>
      <c r="F7" s="31">
        <f t="shared" ca="1" si="3"/>
        <v>92</v>
      </c>
      <c r="G7" s="31">
        <f t="shared" ca="1" si="4"/>
        <v>10</v>
      </c>
      <c r="H7" s="31">
        <f t="shared" ca="1" si="5"/>
        <v>94.63272727272728</v>
      </c>
      <c r="I7" s="31">
        <f t="shared" ca="1" si="6"/>
        <v>94.235090909090914</v>
      </c>
      <c r="J7" s="31">
        <f t="shared" ca="1" si="7"/>
        <v>0</v>
      </c>
      <c r="K7" s="40">
        <f t="shared" ca="1" si="8"/>
        <v>1.2632727272727275</v>
      </c>
      <c r="L7" s="40">
        <f t="shared" ca="1" si="9"/>
        <v>1.2235090909090913</v>
      </c>
      <c r="M7" s="33" t="str">
        <f t="shared" ca="1" si="10"/>
        <v>VERDE</v>
      </c>
      <c r="N7" s="14" t="str">
        <f t="shared" ca="1" si="11"/>
        <v>Falta de técnicos en la zona</v>
      </c>
      <c r="O7" s="35">
        <f t="shared" ca="1" si="12"/>
        <v>0</v>
      </c>
      <c r="P7" s="35">
        <f t="shared" ca="1" si="13"/>
        <v>1</v>
      </c>
      <c r="Q7" s="41">
        <f t="shared" si="14"/>
        <v>1</v>
      </c>
    </row>
    <row r="8" spans="1:17" x14ac:dyDescent="0.25">
      <c r="A8" s="25">
        <v>3</v>
      </c>
      <c r="B8" s="13"/>
      <c r="C8" s="14" t="str">
        <f t="shared" ca="1" si="0"/>
        <v/>
      </c>
      <c r="D8" s="35" t="str">
        <f t="shared" ca="1" si="1"/>
        <v/>
      </c>
      <c r="E8" s="31" t="str">
        <f t="shared" ca="1" si="2"/>
        <v/>
      </c>
      <c r="F8" s="31" t="str">
        <f t="shared" ca="1" si="3"/>
        <v/>
      </c>
      <c r="G8" s="31" t="str">
        <f t="shared" ca="1" si="4"/>
        <v/>
      </c>
      <c r="H8" s="31" t="str">
        <f t="shared" ca="1" si="5"/>
        <v/>
      </c>
      <c r="I8" s="31" t="str">
        <f t="shared" ca="1" si="6"/>
        <v/>
      </c>
      <c r="J8" s="31" t="str">
        <f t="shared" ca="1" si="7"/>
        <v/>
      </c>
      <c r="K8" s="40" t="str">
        <f t="shared" ca="1" si="8"/>
        <v/>
      </c>
      <c r="L8" s="40" t="str">
        <f t="shared" ca="1" si="9"/>
        <v/>
      </c>
      <c r="M8" s="33" t="str">
        <f t="shared" ca="1" si="10"/>
        <v/>
      </c>
      <c r="N8" s="14" t="str">
        <f t="shared" ca="1" si="11"/>
        <v/>
      </c>
      <c r="O8" s="35" t="str">
        <f t="shared" ca="1" si="12"/>
        <v/>
      </c>
      <c r="P8" s="35" t="str">
        <f t="shared" ca="1" si="13"/>
        <v/>
      </c>
      <c r="Q8" s="41" t="str">
        <f t="shared" si="14"/>
        <v/>
      </c>
    </row>
    <row r="9" spans="1:17" x14ac:dyDescent="0.25">
      <c r="A9" s="25">
        <v>4</v>
      </c>
      <c r="B9" s="13"/>
      <c r="C9" s="14" t="str">
        <f t="shared" ca="1" si="0"/>
        <v/>
      </c>
      <c r="D9" s="35" t="str">
        <f t="shared" ca="1" si="1"/>
        <v/>
      </c>
      <c r="E9" s="31" t="str">
        <f t="shared" ca="1" si="2"/>
        <v/>
      </c>
      <c r="F9" s="31" t="str">
        <f t="shared" ca="1" si="3"/>
        <v/>
      </c>
      <c r="G9" s="31" t="str">
        <f t="shared" ca="1" si="4"/>
        <v/>
      </c>
      <c r="H9" s="31" t="str">
        <f t="shared" ca="1" si="5"/>
        <v/>
      </c>
      <c r="I9" s="31" t="str">
        <f t="shared" ca="1" si="6"/>
        <v/>
      </c>
      <c r="J9" s="31" t="str">
        <f t="shared" ca="1" si="7"/>
        <v/>
      </c>
      <c r="K9" s="40" t="str">
        <f t="shared" ca="1" si="8"/>
        <v/>
      </c>
      <c r="L9" s="40" t="str">
        <f t="shared" ca="1" si="9"/>
        <v/>
      </c>
      <c r="M9" s="33" t="str">
        <f t="shared" ca="1" si="10"/>
        <v/>
      </c>
      <c r="N9" s="14" t="str">
        <f t="shared" ca="1" si="11"/>
        <v/>
      </c>
      <c r="O9" s="35" t="str">
        <f t="shared" ca="1" si="12"/>
        <v/>
      </c>
      <c r="P9" s="35" t="str">
        <f t="shared" ca="1" si="13"/>
        <v/>
      </c>
      <c r="Q9" s="41" t="str">
        <f t="shared" si="14"/>
        <v/>
      </c>
    </row>
    <row r="10" spans="1:17" x14ac:dyDescent="0.25">
      <c r="A10" s="25">
        <v>5</v>
      </c>
      <c r="B10" s="13"/>
      <c r="C10" s="14" t="str">
        <f t="shared" ca="1" si="0"/>
        <v/>
      </c>
      <c r="D10" s="35" t="str">
        <f t="shared" ca="1" si="1"/>
        <v/>
      </c>
      <c r="E10" s="31" t="str">
        <f t="shared" ca="1" si="2"/>
        <v/>
      </c>
      <c r="F10" s="31" t="str">
        <f t="shared" ca="1" si="3"/>
        <v/>
      </c>
      <c r="G10" s="31" t="str">
        <f t="shared" ca="1" si="4"/>
        <v/>
      </c>
      <c r="H10" s="31" t="str">
        <f t="shared" ca="1" si="5"/>
        <v/>
      </c>
      <c r="I10" s="31" t="str">
        <f t="shared" ca="1" si="6"/>
        <v/>
      </c>
      <c r="J10" s="31" t="str">
        <f t="shared" ca="1" si="7"/>
        <v/>
      </c>
      <c r="K10" s="40" t="str">
        <f t="shared" ca="1" si="8"/>
        <v/>
      </c>
      <c r="L10" s="40" t="str">
        <f t="shared" ca="1" si="9"/>
        <v/>
      </c>
      <c r="M10" s="33" t="str">
        <f t="shared" ca="1" si="10"/>
        <v/>
      </c>
      <c r="N10" s="14" t="str">
        <f t="shared" ca="1" si="11"/>
        <v/>
      </c>
      <c r="O10" s="35" t="str">
        <f t="shared" ca="1" si="12"/>
        <v/>
      </c>
      <c r="P10" s="35" t="str">
        <f t="shared" ca="1" si="13"/>
        <v/>
      </c>
      <c r="Q10" s="41" t="str">
        <f t="shared" si="14"/>
        <v/>
      </c>
    </row>
    <row r="11" spans="1:17" x14ac:dyDescent="0.25">
      <c r="A11" s="25">
        <v>6</v>
      </c>
      <c r="B11" s="13"/>
      <c r="C11" s="14" t="str">
        <f t="shared" ca="1" si="0"/>
        <v/>
      </c>
      <c r="D11" s="35" t="str">
        <f t="shared" ca="1" si="1"/>
        <v/>
      </c>
      <c r="E11" s="31" t="str">
        <f t="shared" ca="1" si="2"/>
        <v/>
      </c>
      <c r="F11" s="31" t="str">
        <f t="shared" ca="1" si="3"/>
        <v/>
      </c>
      <c r="G11" s="31" t="str">
        <f t="shared" ca="1" si="4"/>
        <v/>
      </c>
      <c r="H11" s="31" t="str">
        <f t="shared" ca="1" si="5"/>
        <v/>
      </c>
      <c r="I11" s="31" t="str">
        <f t="shared" ca="1" si="6"/>
        <v/>
      </c>
      <c r="J11" s="31" t="str">
        <f t="shared" ca="1" si="7"/>
        <v/>
      </c>
      <c r="K11" s="40" t="str">
        <f t="shared" ca="1" si="8"/>
        <v/>
      </c>
      <c r="L11" s="40" t="str">
        <f t="shared" ca="1" si="9"/>
        <v/>
      </c>
      <c r="M11" s="33" t="str">
        <f t="shared" ca="1" si="10"/>
        <v/>
      </c>
      <c r="N11" s="14" t="str">
        <f t="shared" ca="1" si="11"/>
        <v/>
      </c>
      <c r="O11" s="35" t="str">
        <f t="shared" ca="1" si="12"/>
        <v/>
      </c>
      <c r="P11" s="35" t="str">
        <f t="shared" ca="1" si="13"/>
        <v/>
      </c>
      <c r="Q11" s="41" t="str">
        <f t="shared" si="14"/>
        <v/>
      </c>
    </row>
    <row r="12" spans="1:17" x14ac:dyDescent="0.25">
      <c r="A12" s="25">
        <v>7</v>
      </c>
      <c r="B12" s="13"/>
      <c r="C12" s="14" t="str">
        <f t="shared" ca="1" si="0"/>
        <v/>
      </c>
      <c r="D12" s="35" t="str">
        <f t="shared" ca="1" si="1"/>
        <v/>
      </c>
      <c r="E12" s="31" t="str">
        <f t="shared" ca="1" si="2"/>
        <v/>
      </c>
      <c r="F12" s="31" t="str">
        <f t="shared" ca="1" si="3"/>
        <v/>
      </c>
      <c r="G12" s="31" t="str">
        <f t="shared" ca="1" si="4"/>
        <v/>
      </c>
      <c r="H12" s="31" t="str">
        <f t="shared" ca="1" si="5"/>
        <v/>
      </c>
      <c r="I12" s="31" t="str">
        <f t="shared" ca="1" si="6"/>
        <v/>
      </c>
      <c r="J12" s="31" t="str">
        <f t="shared" ca="1" si="7"/>
        <v/>
      </c>
      <c r="K12" s="40" t="str">
        <f t="shared" ca="1" si="8"/>
        <v/>
      </c>
      <c r="L12" s="40" t="str">
        <f t="shared" ca="1" si="9"/>
        <v/>
      </c>
      <c r="M12" s="33" t="str">
        <f t="shared" ca="1" si="10"/>
        <v/>
      </c>
      <c r="N12" s="14" t="str">
        <f t="shared" ca="1" si="11"/>
        <v/>
      </c>
      <c r="O12" s="35" t="str">
        <f t="shared" ca="1" si="12"/>
        <v/>
      </c>
      <c r="P12" s="35" t="str">
        <f t="shared" ca="1" si="13"/>
        <v/>
      </c>
      <c r="Q12" s="41" t="str">
        <f t="shared" si="14"/>
        <v/>
      </c>
    </row>
    <row r="13" spans="1:17" x14ac:dyDescent="0.25">
      <c r="A13" s="25">
        <v>8</v>
      </c>
      <c r="B13" s="13"/>
      <c r="C13" s="14" t="str">
        <f t="shared" ca="1" si="0"/>
        <v/>
      </c>
      <c r="D13" s="35" t="str">
        <f t="shared" ca="1" si="1"/>
        <v/>
      </c>
      <c r="E13" s="31" t="str">
        <f t="shared" ca="1" si="2"/>
        <v/>
      </c>
      <c r="F13" s="31" t="str">
        <f t="shared" ca="1" si="3"/>
        <v/>
      </c>
      <c r="G13" s="31" t="str">
        <f t="shared" ca="1" si="4"/>
        <v/>
      </c>
      <c r="H13" s="31" t="str">
        <f t="shared" ca="1" si="5"/>
        <v/>
      </c>
      <c r="I13" s="31" t="str">
        <f t="shared" ca="1" si="6"/>
        <v/>
      </c>
      <c r="J13" s="31" t="str">
        <f t="shared" ca="1" si="7"/>
        <v/>
      </c>
      <c r="K13" s="40" t="str">
        <f t="shared" ca="1" si="8"/>
        <v/>
      </c>
      <c r="L13" s="40" t="str">
        <f t="shared" ca="1" si="9"/>
        <v/>
      </c>
      <c r="M13" s="33" t="str">
        <f t="shared" ca="1" si="10"/>
        <v/>
      </c>
      <c r="N13" s="14" t="str">
        <f t="shared" ca="1" si="11"/>
        <v/>
      </c>
      <c r="O13" s="35" t="str">
        <f t="shared" ca="1" si="12"/>
        <v/>
      </c>
      <c r="P13" s="35" t="str">
        <f t="shared" ca="1" si="13"/>
        <v/>
      </c>
      <c r="Q13" s="41" t="str">
        <f t="shared" si="14"/>
        <v/>
      </c>
    </row>
    <row r="14" spans="1:17" x14ac:dyDescent="0.25">
      <c r="A14" s="25">
        <v>9</v>
      </c>
      <c r="B14" s="13"/>
      <c r="C14" s="14" t="str">
        <f t="shared" ca="1" si="0"/>
        <v/>
      </c>
      <c r="D14" s="35" t="str">
        <f t="shared" ca="1" si="1"/>
        <v/>
      </c>
      <c r="E14" s="31" t="str">
        <f t="shared" ca="1" si="2"/>
        <v/>
      </c>
      <c r="F14" s="31" t="str">
        <f t="shared" ca="1" si="3"/>
        <v/>
      </c>
      <c r="G14" s="31" t="str">
        <f t="shared" ca="1" si="4"/>
        <v/>
      </c>
      <c r="H14" s="31" t="str">
        <f t="shared" ca="1" si="5"/>
        <v/>
      </c>
      <c r="I14" s="31" t="str">
        <f t="shared" ca="1" si="6"/>
        <v/>
      </c>
      <c r="J14" s="31" t="str">
        <f t="shared" ca="1" si="7"/>
        <v/>
      </c>
      <c r="K14" s="40" t="str">
        <f t="shared" ca="1" si="8"/>
        <v/>
      </c>
      <c r="L14" s="40" t="str">
        <f t="shared" ca="1" si="9"/>
        <v/>
      </c>
      <c r="M14" s="33" t="str">
        <f t="shared" ca="1" si="10"/>
        <v/>
      </c>
      <c r="N14" s="14" t="str">
        <f t="shared" ca="1" si="11"/>
        <v/>
      </c>
      <c r="O14" s="35" t="str">
        <f t="shared" ca="1" si="12"/>
        <v/>
      </c>
      <c r="P14" s="35" t="str">
        <f t="shared" ca="1" si="13"/>
        <v/>
      </c>
      <c r="Q14" s="41" t="str">
        <f t="shared" si="14"/>
        <v/>
      </c>
    </row>
    <row r="15" spans="1:17" x14ac:dyDescent="0.25">
      <c r="A15" s="25">
        <v>10</v>
      </c>
      <c r="B15" s="13"/>
      <c r="C15" s="14" t="str">
        <f t="shared" ca="1" si="0"/>
        <v/>
      </c>
      <c r="D15" s="35" t="str">
        <f t="shared" ca="1" si="1"/>
        <v/>
      </c>
      <c r="E15" s="31" t="str">
        <f t="shared" ca="1" si="2"/>
        <v/>
      </c>
      <c r="F15" s="31" t="str">
        <f t="shared" ca="1" si="3"/>
        <v/>
      </c>
      <c r="G15" s="31" t="str">
        <f t="shared" ca="1" si="4"/>
        <v/>
      </c>
      <c r="H15" s="31" t="str">
        <f t="shared" ca="1" si="5"/>
        <v/>
      </c>
      <c r="I15" s="31" t="str">
        <f t="shared" ca="1" si="6"/>
        <v/>
      </c>
      <c r="J15" s="31" t="str">
        <f t="shared" ca="1" si="7"/>
        <v/>
      </c>
      <c r="K15" s="40" t="str">
        <f t="shared" ca="1" si="8"/>
        <v/>
      </c>
      <c r="L15" s="40" t="str">
        <f t="shared" ca="1" si="9"/>
        <v/>
      </c>
      <c r="M15" s="33" t="str">
        <f t="shared" ca="1" si="10"/>
        <v/>
      </c>
      <c r="N15" s="14" t="str">
        <f t="shared" ca="1" si="11"/>
        <v/>
      </c>
      <c r="O15" s="35" t="str">
        <f t="shared" ca="1" si="12"/>
        <v/>
      </c>
      <c r="P15" s="35" t="str">
        <f t="shared" ca="1" si="13"/>
        <v/>
      </c>
      <c r="Q15" s="41" t="str">
        <f t="shared" si="14"/>
        <v/>
      </c>
    </row>
    <row r="17" spans="1:17" ht="22.05" customHeight="1" x14ac:dyDescent="0.25">
      <c r="A17" s="3" t="s">
        <v>190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36" spans="1:17" ht="22.05" customHeight="1" x14ac:dyDescent="0.25">
      <c r="A36" s="3" t="s">
        <v>191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B37" s="42" t="s">
        <v>192</v>
      </c>
      <c r="C37" s="13" t="s">
        <v>188</v>
      </c>
      <c r="D37" s="12" t="str">
        <f ca="1">IF(C37="","",IFERROR(INDIRECT("'"&amp;C37&amp;"'!C5"),"⚠ Hoja no encontrada"))</f>
        <v>Churn mensual pospago</v>
      </c>
    </row>
    <row r="38" spans="1:17" ht="31.95" customHeight="1" x14ac:dyDescent="0.25">
      <c r="A38" s="4" t="s">
        <v>102</v>
      </c>
      <c r="B38" s="4" t="s">
        <v>67</v>
      </c>
      <c r="C38" s="4" t="s">
        <v>98</v>
      </c>
      <c r="D38" s="4" t="s">
        <v>193</v>
      </c>
      <c r="E38" s="4" t="s">
        <v>100</v>
      </c>
      <c r="F38" s="4" t="s">
        <v>101</v>
      </c>
      <c r="G38" s="4" t="s">
        <v>87</v>
      </c>
    </row>
    <row r="39" spans="1:17" x14ac:dyDescent="0.25">
      <c r="A39" s="25">
        <v>1</v>
      </c>
      <c r="B39" s="14" t="str">
        <f ca="1">IF($C$37="","",IFERROR(INDIRECT("'"&amp;$C$37&amp;"'!B68"),""))</f>
        <v>Resolución en el primer contacto</v>
      </c>
      <c r="C39" s="31">
        <f ca="1">IF($C$37="","",IFERROR(INDIRECT("'"&amp;$C$37&amp;"'!C68"),""))</f>
        <v>0.19626923076923081</v>
      </c>
      <c r="D39" s="34">
        <f ca="1">IF($C$37="","",IFERROR(INDIRECT("'"&amp;$C$37&amp;"'!D68"),""))</f>
        <v>0.24533653846153855</v>
      </c>
      <c r="E39" s="34">
        <f ca="1">IF($C$37="","",IFERROR(INDIRECT("'"&amp;$C$37&amp;"'!E68"),""))</f>
        <v>0.60897307692307701</v>
      </c>
      <c r="F39" s="35" t="str">
        <f ca="1">IF($C$37="","",IFERROR(INDIRECT("'"&amp;$C$37&amp;"'!F68"),""))</f>
        <v>APORTA</v>
      </c>
      <c r="G39" s="7" t="str">
        <f ca="1">IF($C$37="","",IFERROR(INDIRECT("'"&amp;$C$37&amp;"'!G68"),""))</f>
        <v>Aporta 0,20 pp (25 % de la brecha). Si falla, la suficiencia baja de 85 % a 61 %.</v>
      </c>
    </row>
    <row r="40" spans="1:17" x14ac:dyDescent="0.25">
      <c r="A40" s="25">
        <v>2</v>
      </c>
      <c r="B40" s="14" t="str">
        <f ca="1">IF($C$37="","",IFERROR(INDIRECT("'"&amp;$C$37&amp;"'!B69"),""))</f>
        <v>Nuevo portafolio de planes competitivos</v>
      </c>
      <c r="C40" s="31">
        <f ca="1">IF($C$37="","",IFERROR(INDIRECT("'"&amp;$C$37&amp;"'!C69"),""))</f>
        <v>0.1727169230769231</v>
      </c>
      <c r="D40" s="34">
        <f ca="1">IF($C$37="","",IFERROR(INDIRECT("'"&amp;$C$37&amp;"'!D69"),""))</f>
        <v>0.21589615384615393</v>
      </c>
      <c r="E40" s="34">
        <f ca="1">IF($C$37="","",IFERROR(INDIRECT("'"&amp;$C$37&amp;"'!E69"),""))</f>
        <v>0.63841346153846168</v>
      </c>
      <c r="F40" s="35" t="str">
        <f ca="1">IF($C$37="","",IFERROR(INDIRECT("'"&amp;$C$37&amp;"'!F69"),""))</f>
        <v>EN RIESGO</v>
      </c>
      <c r="G40" s="7" t="str">
        <f ca="1">IF($C$37="","",IFERROR(INDIRECT("'"&amp;$C$37&amp;"'!G69"),""))</f>
        <v>Aporta 0,17 pp (22 % de la brecha). Si falla, la suficiencia baja de 85 % a 64 %.</v>
      </c>
    </row>
    <row r="41" spans="1:17" x14ac:dyDescent="0.25">
      <c r="A41" s="25">
        <v>3</v>
      </c>
      <c r="B41" s="14" t="str">
        <f ca="1">IF($C$37="","",IFERROR(INDIRECT("'"&amp;$C$37&amp;"'!B70"),""))</f>
        <v>Ofertas de retención con modelo predictivo</v>
      </c>
      <c r="C41" s="31">
        <f ca="1">IF($C$37="","",IFERROR(INDIRECT("'"&amp;$C$37&amp;"'!C70"),""))</f>
        <v>0.14638615384615383</v>
      </c>
      <c r="D41" s="34">
        <f ca="1">IF($C$37="","",IFERROR(INDIRECT("'"&amp;$C$37&amp;"'!D70"),""))</f>
        <v>0.18298269230769232</v>
      </c>
      <c r="E41" s="34">
        <f ca="1">IF($C$37="","",IFERROR(INDIRECT("'"&amp;$C$37&amp;"'!E70"),""))</f>
        <v>0.67132692307692321</v>
      </c>
      <c r="F41" s="35" t="str">
        <f ca="1">IF($C$37="","",IFERROR(INDIRECT("'"&amp;$C$37&amp;"'!F70"),""))</f>
        <v>APORTA</v>
      </c>
      <c r="G41" s="7" t="str">
        <f ca="1">IF($C$37="","",IFERROR(INDIRECT("'"&amp;$C$37&amp;"'!G70"),""))</f>
        <v>Aporta 0,15 pp (18 % de la brecha). Si falla, la suficiencia baja de 85 % a 67 %.</v>
      </c>
    </row>
    <row r="42" spans="1:17" x14ac:dyDescent="0.25">
      <c r="A42" s="25">
        <v>4</v>
      </c>
      <c r="B42" s="14" t="str">
        <f ca="1">IF($C$37="","",IFERROR(INDIRECT("'"&amp;$C$37&amp;"'!B71"),""))</f>
        <v>Densificación de red en zonas críticas</v>
      </c>
      <c r="C42" s="31">
        <f ca="1">IF($C$37="","",IFERROR(INDIRECT("'"&amp;$C$37&amp;"'!C71"),""))</f>
        <v>0.11630769230769233</v>
      </c>
      <c r="D42" s="34">
        <f ca="1">IF($C$37="","",IFERROR(INDIRECT("'"&amp;$C$37&amp;"'!D71"),""))</f>
        <v>0.14538461538461545</v>
      </c>
      <c r="E42" s="34">
        <f ca="1">IF($C$37="","",IFERROR(INDIRECT("'"&amp;$C$37&amp;"'!E71"),""))</f>
        <v>0.70892500000000014</v>
      </c>
      <c r="F42" s="35" t="str">
        <f ca="1">IF($C$37="","",IFERROR(INDIRECT("'"&amp;$C$37&amp;"'!F71"),""))</f>
        <v>EN RIESGO</v>
      </c>
      <c r="G42" s="7" t="str">
        <f ca="1">IF($C$37="","",IFERROR(INDIRECT("'"&amp;$C$37&amp;"'!G71"),""))</f>
        <v>Aporta 0,12 pp (15 % de la brecha). Si falla, la suficiencia baja de 85 % a 71 %.</v>
      </c>
    </row>
    <row r="43" spans="1:17" x14ac:dyDescent="0.25">
      <c r="A43" s="25">
        <v>5</v>
      </c>
      <c r="B43" s="14" t="str">
        <f ca="1">IF($C$37="","",IFERROR(INDIRECT("'"&amp;$C$37&amp;"'!B72"),""))</f>
        <v>Campaña de imagen de marca en redes</v>
      </c>
      <c r="C43" s="31">
        <f ca="1">IF($C$37="","",IFERROR(INDIRECT("'"&amp;$C$37&amp;"'!C72"),""))</f>
        <v>7.9476923076923223E-3</v>
      </c>
      <c r="D43" s="34">
        <f ca="1">IF($C$37="","",IFERROR(INDIRECT("'"&amp;$C$37&amp;"'!D72"),""))</f>
        <v>9.9346153846154046E-3</v>
      </c>
      <c r="E43" s="34">
        <f ca="1">IF($C$37="","",IFERROR(INDIRECT("'"&amp;$C$37&amp;"'!E72"),""))</f>
        <v>0.84437500000000021</v>
      </c>
      <c r="F43" s="35" t="str">
        <f ca="1">IF($C$37="","",IFERROR(INDIRECT("'"&amp;$C$37&amp;"'!F72"),""))</f>
        <v>REEMPLAZAR</v>
      </c>
      <c r="G43" s="7" t="str">
        <f ca="1">IF($C$37="","",IFERROR(INDIRECT("'"&amp;$C$37&amp;"'!G72"),""))</f>
        <v>Aporta 0,01 pp (1 % de la brecha). Si falla, la suficiencia baja de 85 % a 84 %.</v>
      </c>
    </row>
    <row r="44" spans="1:17" x14ac:dyDescent="0.25">
      <c r="A44" s="25">
        <v>6</v>
      </c>
      <c r="B44" s="14" t="str">
        <f ca="1">IF($C$37="","",IFERROR(INDIRECT("'"&amp;$C$37&amp;"'!B73"),""))</f>
        <v/>
      </c>
      <c r="C44" s="31" t="str">
        <f ca="1">IF($C$37="","",IFERROR(INDIRECT("'"&amp;$C$37&amp;"'!C73"),""))</f>
        <v/>
      </c>
      <c r="D44" s="34" t="str">
        <f ca="1">IF($C$37="","",IFERROR(INDIRECT("'"&amp;$C$37&amp;"'!D73"),""))</f>
        <v/>
      </c>
      <c r="E44" s="34" t="str">
        <f ca="1">IF($C$37="","",IFERROR(INDIRECT("'"&amp;$C$37&amp;"'!E73"),""))</f>
        <v/>
      </c>
      <c r="F44" s="35" t="str">
        <f ca="1">IF($C$37="","",IFERROR(INDIRECT("'"&amp;$C$37&amp;"'!F73"),""))</f>
        <v/>
      </c>
      <c r="G44" s="7" t="str">
        <f ca="1">IF($C$37="","",IFERROR(INDIRECT("'"&amp;$C$37&amp;"'!G73"),""))</f>
        <v/>
      </c>
    </row>
    <row r="45" spans="1:17" x14ac:dyDescent="0.25">
      <c r="A45" s="25">
        <v>7</v>
      </c>
      <c r="B45" s="14" t="str">
        <f ca="1">IF($C$37="","",IFERROR(INDIRECT("'"&amp;$C$37&amp;"'!B74"),""))</f>
        <v/>
      </c>
      <c r="C45" s="31" t="str">
        <f ca="1">IF($C$37="","",IFERROR(INDIRECT("'"&amp;$C$37&amp;"'!C74"),""))</f>
        <v/>
      </c>
      <c r="D45" s="34" t="str">
        <f ca="1">IF($C$37="","",IFERROR(INDIRECT("'"&amp;$C$37&amp;"'!D74"),""))</f>
        <v/>
      </c>
      <c r="E45" s="34" t="str">
        <f ca="1">IF($C$37="","",IFERROR(INDIRECT("'"&amp;$C$37&amp;"'!E74"),""))</f>
        <v/>
      </c>
      <c r="F45" s="35" t="str">
        <f ca="1">IF($C$37="","",IFERROR(INDIRECT("'"&amp;$C$37&amp;"'!F74"),""))</f>
        <v/>
      </c>
      <c r="G45" s="7" t="str">
        <f ca="1">IF($C$37="","",IFERROR(INDIRECT("'"&amp;$C$37&amp;"'!G74"),""))</f>
        <v/>
      </c>
    </row>
    <row r="46" spans="1:17" x14ac:dyDescent="0.25">
      <c r="A46" s="25">
        <v>8</v>
      </c>
      <c r="B46" s="14" t="str">
        <f ca="1">IF($C$37="","",IFERROR(INDIRECT("'"&amp;$C$37&amp;"'!B75"),""))</f>
        <v/>
      </c>
      <c r="C46" s="31" t="str">
        <f ca="1">IF($C$37="","",IFERROR(INDIRECT("'"&amp;$C$37&amp;"'!C75"),""))</f>
        <v/>
      </c>
      <c r="D46" s="34" t="str">
        <f ca="1">IF($C$37="","",IFERROR(INDIRECT("'"&amp;$C$37&amp;"'!D75"),""))</f>
        <v/>
      </c>
      <c r="E46" s="34" t="str">
        <f ca="1">IF($C$37="","",IFERROR(INDIRECT("'"&amp;$C$37&amp;"'!E75"),""))</f>
        <v/>
      </c>
      <c r="F46" s="35" t="str">
        <f ca="1">IF($C$37="","",IFERROR(INDIRECT("'"&amp;$C$37&amp;"'!F75"),""))</f>
        <v/>
      </c>
      <c r="G46" s="7" t="str">
        <f ca="1">IF($C$37="","",IFERROR(INDIRECT("'"&amp;$C$37&amp;"'!G75"),""))</f>
        <v/>
      </c>
    </row>
    <row r="48" spans="1:17" ht="22.05" customHeight="1" x14ac:dyDescent="0.25">
      <c r="A48" s="3" t="s">
        <v>194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2:3" x14ac:dyDescent="0.25">
      <c r="B49" s="25" t="s">
        <v>195</v>
      </c>
      <c r="C49" s="7" t="s">
        <v>196</v>
      </c>
    </row>
    <row r="50" spans="2:3" x14ac:dyDescent="0.25">
      <c r="B50" s="25" t="s">
        <v>197</v>
      </c>
      <c r="C50" s="7" t="s">
        <v>198</v>
      </c>
    </row>
    <row r="51" spans="2:3" x14ac:dyDescent="0.25">
      <c r="B51" s="25" t="s">
        <v>199</v>
      </c>
      <c r="C51" s="7" t="s">
        <v>200</v>
      </c>
    </row>
    <row r="52" spans="2:3" x14ac:dyDescent="0.25">
      <c r="B52" s="25" t="s">
        <v>201</v>
      </c>
      <c r="C52" s="7" t="s">
        <v>202</v>
      </c>
    </row>
  </sheetData>
  <sheetProtection sheet="1" objects="1" scenarios="1" formatCells="0" formatColumns="0" formatRows="0"/>
  <conditionalFormatting sqref="M6:M15">
    <cfRule type="containsText" dxfId="24" priority="1" stopIfTrue="1" operator="containsText" text="VERDE">
      <formula>NOT(ISERROR(SEARCH("VERDE",M6)))</formula>
    </cfRule>
    <cfRule type="containsText" dxfId="23" priority="2" stopIfTrue="1" operator="containsText" text="META CUMPLIDA">
      <formula>NOT(ISERROR(SEARCH("META CUMPLIDA",M6)))</formula>
    </cfRule>
    <cfRule type="containsText" dxfId="22" priority="3" stopIfTrue="1" operator="containsText" text="AMARILLO">
      <formula>NOT(ISERROR(SEARCH("AMARILLO",M6)))</formula>
    </cfRule>
    <cfRule type="containsText" dxfId="21" priority="4" stopIfTrue="1" operator="containsText" text="ROJO">
      <formula>NOT(ISERROR(SEARCH("ROJO",M6)))</formula>
    </cfRule>
  </conditionalFormatting>
  <conditionalFormatting sqref="C6:C15">
    <cfRule type="containsText" dxfId="20" priority="5" stopIfTrue="1" operator="containsText" text="⚠">
      <formula>NOT(ISERROR(SEARCH("⚠",C6)))</formula>
    </cfRule>
    <cfRule type="containsText" dxfId="19" priority="6" stopIfTrue="1" operator="containsText" text="✔">
      <formula>NOT(ISERROR(SEARCH("✔",C6)))</formula>
    </cfRule>
  </conditionalFormatting>
  <conditionalFormatting sqref="D37">
    <cfRule type="containsText" dxfId="18" priority="7" stopIfTrue="1" operator="containsText" text="⚠">
      <formula>NOT(ISERROR(SEARCH("⚠",D37)))</formula>
    </cfRule>
    <cfRule type="containsText" dxfId="17" priority="8" stopIfTrue="1" operator="containsText" text="✔">
      <formula>NOT(ISERROR(SEARCH("✔",D37)))</formula>
    </cfRule>
  </conditionalFormatting>
  <conditionalFormatting sqref="F39:F46">
    <cfRule type="containsText" dxfId="16" priority="9" stopIfTrue="1" operator="containsText" text="REEMPLAZAR">
      <formula>NOT(ISERROR(SEARCH("REEMPLAZAR",F39)))</formula>
    </cfRule>
    <cfRule type="containsText" dxfId="15" priority="10" stopIfTrue="1" operator="containsText" text="EN RIESGO">
      <formula>NOT(ISERROR(SEARCH("EN RIESGO",F39)))</formula>
    </cfRule>
    <cfRule type="containsText" dxfId="14" priority="11" stopIfTrue="1" operator="containsText" text="APORTA">
      <formula>NOT(ISERROR(SEARCH("APORTA",F39)))</formula>
    </cfRule>
  </conditionalFormatting>
  <conditionalFormatting sqref="B49:B51">
    <cfRule type="containsText" dxfId="13" priority="12" stopIfTrue="1" operator="containsText" text="REEMPLAZAR">
      <formula>NOT(ISERROR(SEARCH("REEMPLAZAR",B49)))</formula>
    </cfRule>
    <cfRule type="containsText" dxfId="12" priority="13" stopIfTrue="1" operator="containsText" text="EN RIESGO">
      <formula>NOT(ISERROR(SEARCH("EN RIESGO",B49)))</formula>
    </cfRule>
    <cfRule type="containsText" dxfId="11" priority="14" stopIfTrue="1" operator="containsText" text="APORTA">
      <formula>NOT(ISERROR(SEARCH("APORTA",B49)))</formula>
    </cfRule>
  </conditionalFormatting>
  <conditionalFormatting sqref="B52">
    <cfRule type="containsText" dxfId="10" priority="15" stopIfTrue="1" operator="containsText" text="⚠">
      <formula>NOT(ISERROR(SEARCH("⚠",B52)))</formula>
    </cfRule>
    <cfRule type="containsText" dxfId="9" priority="16" stopIfTrue="1" operator="containsText" text="✔">
      <formula>NOT(ISERROR(SEARCH("✔",B52)))</formula>
    </cfRule>
  </conditionalFormatting>
  <dataValidations count="1">
    <dataValidation type="list" allowBlank="1" showInputMessage="1" showErrorMessage="1" sqref="C37" xr:uid="{55BBB18B-6238-4F21-83C5-E826489EAC2D}">
      <formula1>$B$6:$B$15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6CC2-414F-4F0E-8B7B-28B9C695B6AB}">
  <sheetPr>
    <tabColor rgb="FF5B9BD5"/>
  </sheetPr>
  <dimension ref="A1:N133"/>
  <sheetViews>
    <sheetView showGridLines="0" zoomScale="90" zoomScaleNormal="90" workbookViewId="0"/>
  </sheetViews>
  <sheetFormatPr baseColWidth="10" defaultRowHeight="13.2" x14ac:dyDescent="0.25"/>
  <cols>
    <col min="1" max="1" width="8.77734375" style="7" customWidth="1"/>
    <col min="2" max="2" width="46.77734375" style="7" customWidth="1"/>
    <col min="3" max="8" width="16.77734375" style="7" customWidth="1"/>
    <col min="9" max="9" width="14.77734375" style="7" customWidth="1"/>
    <col min="10" max="10" width="13.77734375" style="7" customWidth="1"/>
    <col min="11" max="11" width="16.77734375" style="7" customWidth="1"/>
    <col min="12" max="12" width="13.77734375" style="7" customWidth="1"/>
    <col min="13" max="13" width="42.77734375" style="7" customWidth="1"/>
    <col min="14" max="14" width="24.77734375" style="7" customWidth="1"/>
    <col min="15" max="16384" width="11.5546875" style="7"/>
  </cols>
  <sheetData>
    <row r="1" spans="1:14" ht="21" x14ac:dyDescent="0.25">
      <c r="A1" s="8" t="str">
        <f>"Suficiencia del indicador: "&amp;IF(C5="","(sin nombre)",C5)</f>
        <v>Suficiencia del indicador: Churn mensual pospago</v>
      </c>
    </row>
    <row r="2" spans="1:14" x14ac:dyDescent="0.25">
      <c r="A2" s="10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25">
      <c r="A3" s="11" t="s">
        <v>32</v>
      </c>
    </row>
    <row r="4" spans="1:14" ht="22.05" customHeight="1" x14ac:dyDescent="0.25">
      <c r="A4" s="3" t="s">
        <v>33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B5" s="12" t="s">
        <v>41</v>
      </c>
      <c r="C5" s="13" t="s">
        <v>125</v>
      </c>
      <c r="E5" s="7" t="s">
        <v>42</v>
      </c>
    </row>
    <row r="6" spans="1:14" x14ac:dyDescent="0.25">
      <c r="B6" s="12" t="s">
        <v>24</v>
      </c>
      <c r="C6" s="13" t="s">
        <v>27</v>
      </c>
      <c r="E6" s="7" t="str">
        <f>IF(C6="","⚠ Elige una opción de la lista.","¿Es mejor que el indicador suba o que baje?")</f>
        <v>¿Es mejor que el indicador suba o que baje?</v>
      </c>
    </row>
    <row r="7" spans="1:14" x14ac:dyDescent="0.25">
      <c r="B7" s="12" t="s">
        <v>40</v>
      </c>
      <c r="C7" s="13" t="s">
        <v>126</v>
      </c>
      <c r="E7" s="7" t="s">
        <v>43</v>
      </c>
    </row>
    <row r="8" spans="1:14" x14ac:dyDescent="0.25">
      <c r="B8" s="12" t="s">
        <v>39</v>
      </c>
      <c r="C8" s="15">
        <v>2.8</v>
      </c>
      <c r="D8" s="7" t="str">
        <f t="shared" ref="D8:D10" si="0">IF($C$7="","",$C$7)</f>
        <v>%</v>
      </c>
      <c r="E8" s="7" t="str">
        <f>IF(AND(C7="%",N(C8)&gt;0,N(C8)&lt;1,N(C9)&lt;1),"⚠ ¿Escribiste el símbolo %? Si tu valor es 2,8 %, escribe solo 2,8.","Valor real de hoy. Escribe solo el número, sin el símbolo %.")</f>
        <v>Valor real de hoy. Escribe solo el número, sin el símbolo %.</v>
      </c>
    </row>
    <row r="9" spans="1:14" x14ac:dyDescent="0.25">
      <c r="B9" s="12" t="s">
        <v>38</v>
      </c>
      <c r="C9" s="15">
        <v>2</v>
      </c>
      <c r="D9" s="7" t="str">
        <f t="shared" si="0"/>
        <v>%</v>
      </c>
      <c r="E9" s="7" t="s">
        <v>44</v>
      </c>
    </row>
    <row r="10" spans="1:14" x14ac:dyDescent="0.25">
      <c r="B10" s="12" t="s">
        <v>37</v>
      </c>
      <c r="C10" s="15"/>
      <c r="D10" s="7" t="str">
        <f t="shared" si="0"/>
        <v>%</v>
      </c>
      <c r="E10" s="7" t="s">
        <v>45</v>
      </c>
    </row>
    <row r="11" spans="1:14" x14ac:dyDescent="0.25">
      <c r="B11" s="12" t="s">
        <v>36</v>
      </c>
      <c r="C11" s="18">
        <f>IF(C8="",0,ABS(C131-C8))</f>
        <v>2.8</v>
      </c>
      <c r="D11" s="7" t="str">
        <f t="shared" ref="D11:D12" si="1">$C$130</f>
        <v>pp</v>
      </c>
      <c r="E11" s="7" t="s">
        <v>46</v>
      </c>
    </row>
    <row r="12" spans="1:14" x14ac:dyDescent="0.25">
      <c r="B12" s="12" t="s">
        <v>35</v>
      </c>
      <c r="C12" s="18">
        <f>IF(OR(C6="",C8="",C9=""),0,MAX(0,IF(C6="Sube es mejor",C9-C8,C8-C9)))</f>
        <v>0.79999999999999982</v>
      </c>
      <c r="D12" s="7" t="str">
        <f t="shared" si="1"/>
        <v>pp</v>
      </c>
      <c r="E12" s="7" t="s">
        <v>47</v>
      </c>
    </row>
    <row r="13" spans="1:14" x14ac:dyDescent="0.25">
      <c r="B13" s="12" t="s">
        <v>34</v>
      </c>
      <c r="C13" s="17">
        <v>12000</v>
      </c>
      <c r="E13" s="7" t="s">
        <v>48</v>
      </c>
    </row>
    <row r="15" spans="1:14" ht="22.05" customHeight="1" x14ac:dyDescent="0.25">
      <c r="A15" s="3" t="s">
        <v>49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9.95" customHeight="1" x14ac:dyDescent="0.25">
      <c r="B16" s="4" t="s">
        <v>50</v>
      </c>
      <c r="C16" s="4" t="s">
        <v>51</v>
      </c>
      <c r="D16" s="4" t="s">
        <v>52</v>
      </c>
      <c r="E16" s="4" t="s">
        <v>53</v>
      </c>
      <c r="F16" s="4" t="s">
        <v>54</v>
      </c>
      <c r="G16" s="4" t="s">
        <v>55</v>
      </c>
      <c r="H16" s="4" t="s">
        <v>56</v>
      </c>
    </row>
    <row r="17" spans="1:14" ht="42" customHeight="1" x14ac:dyDescent="0.25">
      <c r="B17" s="12" t="s">
        <v>62</v>
      </c>
      <c r="C17" s="19" t="s">
        <v>127</v>
      </c>
      <c r="D17" s="19" t="s">
        <v>129</v>
      </c>
      <c r="E17" s="19" t="s">
        <v>131</v>
      </c>
      <c r="F17" s="19" t="s">
        <v>133</v>
      </c>
      <c r="G17" s="19" t="s">
        <v>135</v>
      </c>
      <c r="H17" s="19"/>
    </row>
    <row r="18" spans="1:14" x14ac:dyDescent="0.25">
      <c r="B18" s="12" t="s">
        <v>61</v>
      </c>
      <c r="C18" s="17">
        <v>6000</v>
      </c>
      <c r="D18" s="17">
        <v>3600</v>
      </c>
      <c r="E18" s="17">
        <v>3000</v>
      </c>
      <c r="F18" s="17">
        <v>1800</v>
      </c>
      <c r="G18" s="17">
        <v>1200</v>
      </c>
      <c r="H18" s="17"/>
    </row>
    <row r="19" spans="1:14" x14ac:dyDescent="0.25">
      <c r="B19" s="12" t="s">
        <v>60</v>
      </c>
      <c r="C19" s="21">
        <f t="shared" ref="C19:H19" si="2">IF(OR(N(C18)=0,N($C$13)=0),0,C18/$C$13)</f>
        <v>0.5</v>
      </c>
      <c r="D19" s="21">
        <f t="shared" si="2"/>
        <v>0.3</v>
      </c>
      <c r="E19" s="21">
        <f t="shared" si="2"/>
        <v>0.25</v>
      </c>
      <c r="F19" s="21">
        <f t="shared" si="2"/>
        <v>0.15</v>
      </c>
      <c r="G19" s="21">
        <f t="shared" si="2"/>
        <v>0.1</v>
      </c>
      <c r="H19" s="21">
        <f t="shared" si="2"/>
        <v>0</v>
      </c>
    </row>
    <row r="20" spans="1:14" x14ac:dyDescent="0.25">
      <c r="B20" s="12" t="s">
        <v>59</v>
      </c>
      <c r="C20" s="22">
        <f t="shared" ref="C20:H20" si="3">IF(SUM($C$19:$H$19)=0,0,C19/SUM($C$19:$H$19))</f>
        <v>0.38461538461538458</v>
      </c>
      <c r="D20" s="22">
        <f t="shared" si="3"/>
        <v>0.23076923076923075</v>
      </c>
      <c r="E20" s="22">
        <f t="shared" si="3"/>
        <v>0.19230769230769229</v>
      </c>
      <c r="F20" s="22">
        <f t="shared" si="3"/>
        <v>0.11538461538461538</v>
      </c>
      <c r="G20" s="22">
        <f t="shared" si="3"/>
        <v>7.6923076923076927E-2</v>
      </c>
      <c r="H20" s="22">
        <f t="shared" si="3"/>
        <v>0</v>
      </c>
    </row>
    <row r="21" spans="1:14" x14ac:dyDescent="0.25">
      <c r="B21" s="12" t="s">
        <v>58</v>
      </c>
      <c r="C21" s="23"/>
      <c r="D21" s="23"/>
      <c r="E21" s="23"/>
      <c r="F21" s="23"/>
      <c r="G21" s="23"/>
      <c r="H21" s="23"/>
    </row>
    <row r="22" spans="1:14" x14ac:dyDescent="0.25">
      <c r="B22" s="12" t="s">
        <v>57</v>
      </c>
      <c r="C22" s="24">
        <f t="shared" ref="C22:H22" si="4">IF(C21="",C20,C21)</f>
        <v>0.38461538461538458</v>
      </c>
      <c r="D22" s="24">
        <f t="shared" si="4"/>
        <v>0.23076923076923075</v>
      </c>
      <c r="E22" s="24">
        <f t="shared" si="4"/>
        <v>0.19230769230769229</v>
      </c>
      <c r="F22" s="24">
        <f t="shared" si="4"/>
        <v>0.11538461538461538</v>
      </c>
      <c r="G22" s="24">
        <f t="shared" si="4"/>
        <v>7.6923076923076927E-2</v>
      </c>
      <c r="H22" s="24">
        <f t="shared" si="4"/>
        <v>0</v>
      </c>
    </row>
    <row r="23" spans="1:14" ht="55.95" customHeight="1" x14ac:dyDescent="0.25">
      <c r="B23" s="12" t="s">
        <v>64</v>
      </c>
      <c r="C23" s="19" t="s">
        <v>128</v>
      </c>
      <c r="D23" s="19" t="s">
        <v>130</v>
      </c>
      <c r="E23" s="19" t="s">
        <v>132</v>
      </c>
      <c r="F23" s="19" t="s">
        <v>134</v>
      </c>
      <c r="G23" s="19" t="s">
        <v>136</v>
      </c>
      <c r="H23" s="19"/>
    </row>
    <row r="24" spans="1:14" x14ac:dyDescent="0.25">
      <c r="B24" s="12" t="s">
        <v>63</v>
      </c>
      <c r="C24" s="7" t="str">
        <f>IF(SUM(C22:H22)=0,"⚠ Aún no hay dolores con casos.",IF(ABS(SUM(C22:H22)-1)&lt;0.0005,"✔ La atribución suma 100 %.","⚠ La atribución suma "&amp;FIXED(SUM(C22:H22)*100,1)&amp;" %; debe sumar 100 %. Revisa la fila 21."))</f>
        <v>✔ La atribución suma 100 %.</v>
      </c>
    </row>
    <row r="25" spans="1:14" x14ac:dyDescent="0.25">
      <c r="C25" s="11" t="str">
        <f>"La suma de prevalencias es "&amp;FIXED(SUM(C19:H19)*100,0)&amp;" %. Puede pasar de 100 % porque un caso puede tener varios dolores. Es normal."</f>
        <v>La suma de prevalencias es 130 %. Puede pasar de 100 % porque un caso puede tener varios dolores. Es normal.</v>
      </c>
    </row>
    <row r="27" spans="1:14" ht="22.05" customHeight="1" x14ac:dyDescent="0.25">
      <c r="A27" s="3" t="s">
        <v>65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43.95" customHeight="1" x14ac:dyDescent="0.25">
      <c r="A28" s="4" t="s">
        <v>66</v>
      </c>
      <c r="B28" s="4" t="s">
        <v>67</v>
      </c>
      <c r="C28" s="4" t="str">
        <f t="shared" ref="C28:H28" si="5">IF(C17="","Dolor "&amp;(COLUMN()-2),C17)</f>
        <v>Precio / oferta de la competencia</v>
      </c>
      <c r="D28" s="4" t="str">
        <f t="shared" si="5"/>
        <v>Fallas de red / cobertura</v>
      </c>
      <c r="E28" s="4" t="str">
        <f t="shared" si="5"/>
        <v>Reclamos no resueltos</v>
      </c>
      <c r="F28" s="4" t="str">
        <f t="shared" si="5"/>
        <v>Errores de facturación</v>
      </c>
      <c r="G28" s="4" t="str">
        <f t="shared" si="5"/>
        <v>No gestionable (mudanza, fallecimiento)</v>
      </c>
      <c r="H28" s="4" t="str">
        <f t="shared" si="5"/>
        <v>Dolor 6</v>
      </c>
      <c r="I28" s="4" t="s">
        <v>68</v>
      </c>
      <c r="J28" s="4" t="s">
        <v>25</v>
      </c>
      <c r="K28" s="4" t="s">
        <v>69</v>
      </c>
      <c r="L28" s="4" t="s">
        <v>70</v>
      </c>
      <c r="M28" s="4" t="s">
        <v>71</v>
      </c>
      <c r="N28" s="4" t="s">
        <v>63</v>
      </c>
    </row>
    <row r="29" spans="1:14" ht="40.049999999999997" customHeight="1" x14ac:dyDescent="0.25">
      <c r="A29" s="25" t="s">
        <v>72</v>
      </c>
      <c r="B29" s="19" t="s">
        <v>137</v>
      </c>
      <c r="C29" s="27">
        <v>0.45</v>
      </c>
      <c r="D29" s="27"/>
      <c r="E29" s="27"/>
      <c r="F29" s="27"/>
      <c r="G29" s="27"/>
      <c r="H29" s="27"/>
      <c r="I29" s="27">
        <v>0.4</v>
      </c>
      <c r="J29" s="28" t="s">
        <v>30</v>
      </c>
      <c r="K29" s="28" t="s">
        <v>138</v>
      </c>
      <c r="L29" s="29">
        <v>46477</v>
      </c>
      <c r="M29" s="19" t="s">
        <v>139</v>
      </c>
      <c r="N29" s="14" t="str">
        <f t="shared" ref="N29:N36" si="6">IF(B29="","",IF(I29="","⚠ Falta % de ejecución",IF(M29="","⚠ Sin respaldo","✔ OK")))</f>
        <v>✔ OK</v>
      </c>
    </row>
    <row r="30" spans="1:14" ht="40.049999999999997" customHeight="1" x14ac:dyDescent="0.25">
      <c r="A30" s="25" t="s">
        <v>73</v>
      </c>
      <c r="B30" s="19" t="s">
        <v>140</v>
      </c>
      <c r="C30" s="27">
        <v>0.1</v>
      </c>
      <c r="D30" s="27"/>
      <c r="E30" s="27">
        <v>0.15</v>
      </c>
      <c r="F30" s="27"/>
      <c r="G30" s="27"/>
      <c r="H30" s="27"/>
      <c r="I30" s="27">
        <v>1</v>
      </c>
      <c r="J30" s="28" t="s">
        <v>28</v>
      </c>
      <c r="K30" s="28" t="s">
        <v>141</v>
      </c>
      <c r="L30" s="29">
        <v>46371</v>
      </c>
      <c r="M30" s="19" t="s">
        <v>142</v>
      </c>
      <c r="N30" s="14" t="str">
        <f t="shared" si="6"/>
        <v>✔ OK</v>
      </c>
    </row>
    <row r="31" spans="1:14" ht="40.049999999999997" customHeight="1" x14ac:dyDescent="0.25">
      <c r="A31" s="25" t="s">
        <v>74</v>
      </c>
      <c r="B31" s="19" t="s">
        <v>143</v>
      </c>
      <c r="C31" s="27"/>
      <c r="D31" s="27">
        <v>0.3</v>
      </c>
      <c r="E31" s="27"/>
      <c r="F31" s="27"/>
      <c r="G31" s="27"/>
      <c r="H31" s="27"/>
      <c r="I31" s="27">
        <v>0.6</v>
      </c>
      <c r="J31" s="28" t="s">
        <v>29</v>
      </c>
      <c r="K31" s="28" t="s">
        <v>144</v>
      </c>
      <c r="L31" s="29">
        <v>46568</v>
      </c>
      <c r="M31" s="19" t="s">
        <v>145</v>
      </c>
      <c r="N31" s="14" t="str">
        <f t="shared" si="6"/>
        <v>✔ OK</v>
      </c>
    </row>
    <row r="32" spans="1:14" ht="40.049999999999997" customHeight="1" x14ac:dyDescent="0.25">
      <c r="A32" s="25" t="s">
        <v>75</v>
      </c>
      <c r="B32" s="19" t="s">
        <v>146</v>
      </c>
      <c r="C32" s="27"/>
      <c r="D32" s="27"/>
      <c r="E32" s="27">
        <v>0.3</v>
      </c>
      <c r="F32" s="27">
        <v>0.25</v>
      </c>
      <c r="G32" s="27"/>
      <c r="H32" s="27"/>
      <c r="I32" s="27">
        <v>0.9</v>
      </c>
      <c r="J32" s="28" t="s">
        <v>28</v>
      </c>
      <c r="K32" s="28" t="s">
        <v>147</v>
      </c>
      <c r="L32" s="29">
        <v>46418</v>
      </c>
      <c r="M32" s="19" t="s">
        <v>148</v>
      </c>
      <c r="N32" s="14" t="str">
        <f t="shared" si="6"/>
        <v>✔ OK</v>
      </c>
    </row>
    <row r="33" spans="1:14" ht="40.049999999999997" customHeight="1" x14ac:dyDescent="0.25">
      <c r="A33" s="25" t="s">
        <v>76</v>
      </c>
      <c r="B33" s="19" t="s">
        <v>149</v>
      </c>
      <c r="C33" s="27">
        <v>0.01</v>
      </c>
      <c r="D33" s="27"/>
      <c r="E33" s="27"/>
      <c r="F33" s="27"/>
      <c r="G33" s="27"/>
      <c r="H33" s="27"/>
      <c r="I33" s="27">
        <v>1</v>
      </c>
      <c r="J33" s="28" t="s">
        <v>28</v>
      </c>
      <c r="K33" s="28" t="s">
        <v>150</v>
      </c>
      <c r="L33" s="29">
        <v>46356</v>
      </c>
      <c r="M33" s="19"/>
      <c r="N33" s="14" t="str">
        <f t="shared" si="6"/>
        <v>⚠ Sin respaldo</v>
      </c>
    </row>
    <row r="34" spans="1:14" ht="40.049999999999997" customHeight="1" x14ac:dyDescent="0.25">
      <c r="A34" s="25" t="s">
        <v>77</v>
      </c>
      <c r="B34" s="19"/>
      <c r="C34" s="27"/>
      <c r="D34" s="27"/>
      <c r="E34" s="27"/>
      <c r="F34" s="27"/>
      <c r="G34" s="27"/>
      <c r="H34" s="27"/>
      <c r="I34" s="27"/>
      <c r="J34" s="28"/>
      <c r="K34" s="28"/>
      <c r="L34" s="29"/>
      <c r="M34" s="19"/>
      <c r="N34" s="14" t="str">
        <f t="shared" si="6"/>
        <v/>
      </c>
    </row>
    <row r="35" spans="1:14" ht="40.049999999999997" customHeight="1" x14ac:dyDescent="0.25">
      <c r="A35" s="25" t="s">
        <v>78</v>
      </c>
      <c r="B35" s="19"/>
      <c r="C35" s="27"/>
      <c r="D35" s="27"/>
      <c r="E35" s="27"/>
      <c r="F35" s="27"/>
      <c r="G35" s="27"/>
      <c r="H35" s="27"/>
      <c r="I35" s="27"/>
      <c r="J35" s="28"/>
      <c r="K35" s="28"/>
      <c r="L35" s="29"/>
      <c r="M35" s="19"/>
      <c r="N35" s="14" t="str">
        <f t="shared" si="6"/>
        <v/>
      </c>
    </row>
    <row r="36" spans="1:14" ht="40.049999999999997" customHeight="1" x14ac:dyDescent="0.25">
      <c r="A36" s="25" t="s">
        <v>79</v>
      </c>
      <c r="B36" s="19"/>
      <c r="C36" s="27"/>
      <c r="D36" s="27"/>
      <c r="E36" s="27"/>
      <c r="F36" s="27"/>
      <c r="G36" s="27"/>
      <c r="H36" s="27"/>
      <c r="I36" s="27"/>
      <c r="J36" s="28"/>
      <c r="K36" s="28"/>
      <c r="L36" s="29"/>
      <c r="M36" s="19"/>
      <c r="N36" s="14" t="str">
        <f t="shared" si="6"/>
        <v/>
      </c>
    </row>
    <row r="37" spans="1:14" x14ac:dyDescent="0.25">
      <c r="B37" s="12" t="s">
        <v>63</v>
      </c>
      <c r="C37" s="7" t="str">
        <f>IF(COUNTIF(B29:B36,"?*")=0,"⚠ Aún no hay iniciativas.",IF(COUNTIF(N29:N36,"⚠*")&gt;0,"⚠ Revisa la columna Revisión (N): faltan datos.","✔ Iniciativas completas."))</f>
        <v>⚠ Revisa la columna Revisión (N): faltan datos.</v>
      </c>
    </row>
    <row r="39" spans="1:14" ht="22.05" customHeight="1" x14ac:dyDescent="0.25">
      <c r="A39" s="3" t="s">
        <v>80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31.95" customHeight="1" x14ac:dyDescent="0.25">
      <c r="B40" s="4" t="s">
        <v>81</v>
      </c>
      <c r="C40" s="4" t="s">
        <v>82</v>
      </c>
      <c r="D40" s="4" t="s">
        <v>83</v>
      </c>
    </row>
    <row r="41" spans="1:14" x14ac:dyDescent="0.25">
      <c r="B41" s="12" t="s">
        <v>86</v>
      </c>
      <c r="C41" s="31">
        <f>SUM(C53:H53)</f>
        <v>1.0418692307692305</v>
      </c>
      <c r="D41" s="31">
        <f>SUM(C54:H54)</f>
        <v>0.68344769230769231</v>
      </c>
      <c r="E41" s="7" t="str">
        <f>$C$130</f>
        <v>pp</v>
      </c>
    </row>
    <row r="42" spans="1:14" ht="17.399999999999999" x14ac:dyDescent="0.25">
      <c r="B42" s="12" t="s">
        <v>85</v>
      </c>
      <c r="C42" s="32">
        <f t="shared" ref="C42:D42" si="7">IF($C$12=0,0,C41/$C$12)</f>
        <v>1.3023365384615384</v>
      </c>
      <c r="D42" s="32">
        <f t="shared" si="7"/>
        <v>0.85430961538461558</v>
      </c>
    </row>
    <row r="43" spans="1:14" x14ac:dyDescent="0.25">
      <c r="B43" s="12" t="s">
        <v>84</v>
      </c>
      <c r="C43" s="33" t="str">
        <f>IF($C$8="","SIN DATOS",IF($C$12=0,"META CUMPLIDA",LOOKUP(C42,Semaforo_Desde,Semaforo_Color)))</f>
        <v>VERDE</v>
      </c>
      <c r="D43" s="33" t="str">
        <f>IF($C$8="","SIN DATOS",IF($C$12=0,"META CUMPLIDA",LOOKUP(D42,Semaforo_Desde,Semaforo_Color)))</f>
        <v>AMARILLO</v>
      </c>
    </row>
    <row r="44" spans="1:14" x14ac:dyDescent="0.25">
      <c r="B44" s="12" t="s">
        <v>90</v>
      </c>
      <c r="C44" s="31">
        <f t="shared" ref="C44:D44" si="8">IF($C$8="","",IF($C$6="Sube es mejor",$C$8+C41,$C$8-C41))</f>
        <v>1.7581307692307693</v>
      </c>
      <c r="D44" s="31">
        <f t="shared" si="8"/>
        <v>2.1165523076923076</v>
      </c>
      <c r="E44" s="7" t="str">
        <f>IF($C$7="","",$C$7)</f>
        <v>%</v>
      </c>
    </row>
    <row r="45" spans="1:14" x14ac:dyDescent="0.25">
      <c r="B45" s="12" t="s">
        <v>89</v>
      </c>
      <c r="C45" s="31">
        <f t="shared" ref="C45:D45" si="9">MAX(0,$C$12-C41)</f>
        <v>0</v>
      </c>
      <c r="D45" s="31">
        <f t="shared" si="9"/>
        <v>0.11655230769230751</v>
      </c>
      <c r="E45" s="7" t="str">
        <f>$C$130</f>
        <v>pp</v>
      </c>
    </row>
    <row r="46" spans="1:14" x14ac:dyDescent="0.25">
      <c r="B46" s="12" t="s">
        <v>88</v>
      </c>
      <c r="C46" s="7" t="str">
        <f>IF($C$132=0,"",$C$133&amp;" · explica el "&amp;FIXED(INDEX(C22:H22,$C$132)*100,0)&amp;" % del problema · resuelto (realista): "&amp;FIXED(INDEX(C52:H52,$C$132)*100,0)&amp;" %")</f>
        <v>Precio / oferta de la competencia · explica el 38 % del problema · resuelto (realista): 27 %</v>
      </c>
    </row>
    <row r="47" spans="1:14" x14ac:dyDescent="0.25">
      <c r="B47" s="12" t="s">
        <v>87</v>
      </c>
      <c r="C47" s="12" t="str">
        <f>IF($C$8="","Completa el Paso 1 para ver el resultado.",IF($C$12=0,"La meta ya se cumple hoy: no hay brecha que cerrar.","Si todas las iniciativas se cumplen al 100 %, cubres el "&amp;FIXED(C42*100,0)&amp;" % de la brecha. Con la ejecución realista cubres el "&amp;FIXED(D42*100,0)&amp;" %."))</f>
        <v>Si todas las iniciativas se cumplen al 100 %, cubres el 130 % de la brecha. Con la ejecución realista cubres el 85 %.</v>
      </c>
    </row>
    <row r="49" spans="1:8" ht="42" customHeight="1" x14ac:dyDescent="0.25">
      <c r="B49" s="4" t="s">
        <v>91</v>
      </c>
      <c r="C49" s="4" t="str">
        <f t="shared" ref="C49:H49" si="10">IF(C17="","Dolor "&amp;(COLUMN()-2),C17)</f>
        <v>Precio / oferta de la competencia</v>
      </c>
      <c r="D49" s="4" t="str">
        <f t="shared" si="10"/>
        <v>Fallas de red / cobertura</v>
      </c>
      <c r="E49" s="4" t="str">
        <f t="shared" si="10"/>
        <v>Reclamos no resueltos</v>
      </c>
      <c r="F49" s="4" t="str">
        <f t="shared" si="10"/>
        <v>Errores de facturación</v>
      </c>
      <c r="G49" s="4" t="str">
        <f t="shared" si="10"/>
        <v>No gestionable (mudanza, fallecimiento)</v>
      </c>
      <c r="H49" s="4" t="str">
        <f t="shared" si="10"/>
        <v>Dolor 6</v>
      </c>
    </row>
    <row r="50" spans="1:8" x14ac:dyDescent="0.25">
      <c r="B50" s="12" t="s">
        <v>57</v>
      </c>
      <c r="C50" s="34">
        <f t="shared" ref="C50:H50" si="11">C22</f>
        <v>0.38461538461538458</v>
      </c>
      <c r="D50" s="34">
        <f t="shared" si="11"/>
        <v>0.23076923076923075</v>
      </c>
      <c r="E50" s="34">
        <f t="shared" si="11"/>
        <v>0.19230769230769229</v>
      </c>
      <c r="F50" s="34">
        <f t="shared" si="11"/>
        <v>0.11538461538461538</v>
      </c>
      <c r="G50" s="34">
        <f t="shared" si="11"/>
        <v>7.6923076923076927E-2</v>
      </c>
      <c r="H50" s="34">
        <f t="shared" si="11"/>
        <v>0</v>
      </c>
    </row>
    <row r="51" spans="1:8" x14ac:dyDescent="0.25">
      <c r="B51" s="12" t="s">
        <v>95</v>
      </c>
      <c r="C51" s="34">
        <f t="shared" ref="C51:H51" si="12">C89</f>
        <v>0.5099499999999999</v>
      </c>
      <c r="D51" s="34">
        <f t="shared" si="12"/>
        <v>0.30000000000000004</v>
      </c>
      <c r="E51" s="34">
        <f t="shared" si="12"/>
        <v>0.40500000000000003</v>
      </c>
      <c r="F51" s="34">
        <f t="shared" si="12"/>
        <v>0.25</v>
      </c>
      <c r="G51" s="34">
        <f t="shared" si="12"/>
        <v>0</v>
      </c>
      <c r="H51" s="34">
        <f t="shared" si="12"/>
        <v>0</v>
      </c>
    </row>
    <row r="52" spans="1:8" x14ac:dyDescent="0.25">
      <c r="B52" s="12" t="s">
        <v>94</v>
      </c>
      <c r="C52" s="34">
        <f t="shared" ref="C52:H52" si="13">C101</f>
        <v>0.26938000000000006</v>
      </c>
      <c r="D52" s="34">
        <f t="shared" si="13"/>
        <v>0.17999999999999994</v>
      </c>
      <c r="E52" s="34">
        <f t="shared" si="13"/>
        <v>0.37950000000000006</v>
      </c>
      <c r="F52" s="34">
        <f t="shared" si="13"/>
        <v>0.22499999999999998</v>
      </c>
      <c r="G52" s="34">
        <f t="shared" si="13"/>
        <v>0</v>
      </c>
      <c r="H52" s="34">
        <f t="shared" si="13"/>
        <v>0</v>
      </c>
    </row>
    <row r="53" spans="1:8" x14ac:dyDescent="0.25">
      <c r="B53" s="12" t="s">
        <v>93</v>
      </c>
      <c r="C53" s="31">
        <f t="shared" ref="C53:H53" si="14">$C$11*C50*C51</f>
        <v>0.54917692307692278</v>
      </c>
      <c r="D53" s="31">
        <f t="shared" si="14"/>
        <v>0.19384615384615386</v>
      </c>
      <c r="E53" s="31">
        <f t="shared" si="14"/>
        <v>0.21807692307692303</v>
      </c>
      <c r="F53" s="31">
        <f t="shared" si="14"/>
        <v>8.076923076923076E-2</v>
      </c>
      <c r="G53" s="31">
        <f t="shared" si="14"/>
        <v>0</v>
      </c>
      <c r="H53" s="31">
        <f t="shared" si="14"/>
        <v>0</v>
      </c>
    </row>
    <row r="54" spans="1:8" x14ac:dyDescent="0.25">
      <c r="B54" s="12" t="s">
        <v>92</v>
      </c>
      <c r="C54" s="31">
        <f t="shared" ref="C54:H54" si="15">$C$11*C50*C52</f>
        <v>0.29010153846153847</v>
      </c>
      <c r="D54" s="31">
        <f t="shared" si="15"/>
        <v>0.11630769230769225</v>
      </c>
      <c r="E54" s="31">
        <f t="shared" si="15"/>
        <v>0.20434615384615382</v>
      </c>
      <c r="F54" s="31">
        <f t="shared" si="15"/>
        <v>7.2692307692307681E-2</v>
      </c>
      <c r="G54" s="31">
        <f t="shared" si="15"/>
        <v>0</v>
      </c>
      <c r="H54" s="31">
        <f t="shared" si="15"/>
        <v>0</v>
      </c>
    </row>
    <row r="55" spans="1:8" x14ac:dyDescent="0.25">
      <c r="B55" s="12" t="s">
        <v>96</v>
      </c>
      <c r="C55" s="35" t="str">
        <f>IF(C17="","",IF(AND(C50&gt;Cobertura_Atrib_Min,C52&lt;Cobertura_Resuelto_Min),"⚠ SIN COBERTURA",IF(C52&gt;=Cobertura_Resuelto_Min,"✔ Cubierto","○ Peso bajo")))</f>
        <v>⚠ SIN COBERTURA</v>
      </c>
      <c r="D55" s="35" t="str">
        <f>IF(D17="","",IF(AND(D50&gt;Cobertura_Atrib_Min,D52&lt;Cobertura_Resuelto_Min),"⚠ SIN COBERTURA",IF(D52&gt;=Cobertura_Resuelto_Min,"✔ Cubierto","○ Peso bajo")))</f>
        <v>⚠ SIN COBERTURA</v>
      </c>
      <c r="E55" s="35" t="str">
        <f>IF(E17="","",IF(AND(E50&gt;Cobertura_Atrib_Min,E52&lt;Cobertura_Resuelto_Min),"⚠ SIN COBERTURA",IF(E52&gt;=Cobertura_Resuelto_Min,"✔ Cubierto","○ Peso bajo")))</f>
        <v>✔ Cubierto</v>
      </c>
      <c r="F55" s="35" t="str">
        <f>IF(F17="","",IF(AND(F50&gt;Cobertura_Atrib_Min,F52&lt;Cobertura_Resuelto_Min),"⚠ SIN COBERTURA",IF(F52&gt;=Cobertura_Resuelto_Min,"✔ Cubierto","○ Peso bajo")))</f>
        <v>○ Peso bajo</v>
      </c>
      <c r="G55" s="35" t="str">
        <f>IF(G17="","",IF(AND(G50&gt;Cobertura_Atrib_Min,G52&lt;Cobertura_Resuelto_Min),"⚠ SIN COBERTURA",IF(G52&gt;=Cobertura_Resuelto_Min,"✔ Cubierto","○ Peso bajo")))</f>
        <v>○ Peso bajo</v>
      </c>
      <c r="H55" s="35" t="str">
        <f>IF(H17="","",IF(AND(H50&gt;Cobertura_Atrib_Min,H52&lt;Cobertura_Resuelto_Min),"⚠ SIN COBERTURA",IF(H52&gt;=Cobertura_Resuelto_Min,"✔ Cubierto","○ Peso bajo")))</f>
        <v/>
      </c>
    </row>
    <row r="57" spans="1:8" ht="31.95" customHeight="1" x14ac:dyDescent="0.25">
      <c r="A57" s="4" t="s">
        <v>66</v>
      </c>
      <c r="B57" s="4" t="s">
        <v>97</v>
      </c>
      <c r="C57" s="4" t="s">
        <v>98</v>
      </c>
      <c r="D57" s="4" t="s">
        <v>99</v>
      </c>
      <c r="E57" s="4" t="s">
        <v>100</v>
      </c>
      <c r="F57" s="4" t="s">
        <v>101</v>
      </c>
      <c r="G57" s="4" t="s">
        <v>87</v>
      </c>
    </row>
    <row r="58" spans="1:8" x14ac:dyDescent="0.25">
      <c r="A58" s="25" t="s">
        <v>72</v>
      </c>
      <c r="B58" s="14" t="str">
        <f t="shared" ref="B58:B65" si="16">IF(B29="","",B29)</f>
        <v>Nuevo portafolio de planes competitivos</v>
      </c>
      <c r="C58" s="31">
        <f t="shared" ref="C58:C65" si="17">IF($B29="","",K104)</f>
        <v>0.1727169230769231</v>
      </c>
      <c r="D58" s="34">
        <f t="shared" ref="D58:D65" si="18">IF($B29="","",L104)</f>
        <v>0.21589615384615393</v>
      </c>
      <c r="E58" s="34">
        <f t="shared" ref="E58:E65" si="19">IF($B29="","",J104)</f>
        <v>0.63841346153846168</v>
      </c>
      <c r="F58" s="35" t="str">
        <f>IF($B29="","",IF(OR(N($I29)=0,L104&lt;Umbral_Reemplazar),"REEMPLAZAR",IF(OR($J29="Retrasada",$J29="En riesgo"),"EN RIESGO","APORTA")))</f>
        <v>EN RIESGO</v>
      </c>
      <c r="G58" s="7" t="str">
        <f t="shared" ref="G58:G65" si="20">IF($B29="","","Aporta "&amp;FIXED(K104,2)&amp;" "&amp;$C$130&amp;" ("&amp;FIXED(L104*100,0)&amp;" % de la brecha). Si falla, la suficiencia baja de "&amp;FIXED($D$42*100,0)&amp;" % a "&amp;FIXED(J104*100,0)&amp;" %.")</f>
        <v>Aporta 0,17 pp (22 % de la brecha). Si falla, la suficiencia baja de 85 % a 64 %.</v>
      </c>
    </row>
    <row r="59" spans="1:8" x14ac:dyDescent="0.25">
      <c r="A59" s="25" t="s">
        <v>73</v>
      </c>
      <c r="B59" s="14" t="str">
        <f t="shared" si="16"/>
        <v>Ofertas de retención con modelo predictivo</v>
      </c>
      <c r="C59" s="31">
        <f t="shared" si="17"/>
        <v>0.14638615384615383</v>
      </c>
      <c r="D59" s="34">
        <f t="shared" si="18"/>
        <v>0.18298269230769232</v>
      </c>
      <c r="E59" s="34">
        <f t="shared" si="19"/>
        <v>0.67132692307692321</v>
      </c>
      <c r="F59" s="35" t="str">
        <f>IF($B30="","",IF(OR(N($I30)=0,L105&lt;Umbral_Reemplazar),"REEMPLAZAR",IF(OR($J30="Retrasada",$J30="En riesgo"),"EN RIESGO","APORTA")))</f>
        <v>APORTA</v>
      </c>
      <c r="G59" s="7" t="str">
        <f t="shared" si="20"/>
        <v>Aporta 0,15 pp (18 % de la brecha). Si falla, la suficiencia baja de 85 % a 67 %.</v>
      </c>
    </row>
    <row r="60" spans="1:8" x14ac:dyDescent="0.25">
      <c r="A60" s="25" t="s">
        <v>74</v>
      </c>
      <c r="B60" s="14" t="str">
        <f t="shared" si="16"/>
        <v>Densificación de red en zonas críticas</v>
      </c>
      <c r="C60" s="31">
        <f t="shared" si="17"/>
        <v>0.11630769230769233</v>
      </c>
      <c r="D60" s="34">
        <f t="shared" si="18"/>
        <v>0.14538461538461545</v>
      </c>
      <c r="E60" s="34">
        <f t="shared" si="19"/>
        <v>0.70892500000000014</v>
      </c>
      <c r="F60" s="35" t="str">
        <f>IF($B31="","",IF(OR(N($I31)=0,L106&lt;Umbral_Reemplazar),"REEMPLAZAR",IF(OR($J31="Retrasada",$J31="En riesgo"),"EN RIESGO","APORTA")))</f>
        <v>EN RIESGO</v>
      </c>
      <c r="G60" s="7" t="str">
        <f t="shared" si="20"/>
        <v>Aporta 0,12 pp (15 % de la brecha). Si falla, la suficiencia baja de 85 % a 71 %.</v>
      </c>
    </row>
    <row r="61" spans="1:8" x14ac:dyDescent="0.25">
      <c r="A61" s="25" t="s">
        <v>75</v>
      </c>
      <c r="B61" s="14" t="str">
        <f t="shared" si="16"/>
        <v>Resolución en el primer contacto</v>
      </c>
      <c r="C61" s="31">
        <f t="shared" si="17"/>
        <v>0.19626923076923081</v>
      </c>
      <c r="D61" s="34">
        <f t="shared" si="18"/>
        <v>0.24533653846153855</v>
      </c>
      <c r="E61" s="34">
        <f t="shared" si="19"/>
        <v>0.60897307692307701</v>
      </c>
      <c r="F61" s="35" t="str">
        <f>IF($B32="","",IF(OR(N($I32)=0,L107&lt;Umbral_Reemplazar),"REEMPLAZAR",IF(OR($J32="Retrasada",$J32="En riesgo"),"EN RIESGO","APORTA")))</f>
        <v>APORTA</v>
      </c>
      <c r="G61" s="7" t="str">
        <f t="shared" si="20"/>
        <v>Aporta 0,20 pp (25 % de la brecha). Si falla, la suficiencia baja de 85 % a 61 %.</v>
      </c>
    </row>
    <row r="62" spans="1:8" x14ac:dyDescent="0.25">
      <c r="A62" s="25" t="s">
        <v>76</v>
      </c>
      <c r="B62" s="14" t="str">
        <f t="shared" si="16"/>
        <v>Campaña de imagen de marca en redes</v>
      </c>
      <c r="C62" s="31">
        <f t="shared" si="17"/>
        <v>7.9476923076923223E-3</v>
      </c>
      <c r="D62" s="34">
        <f t="shared" si="18"/>
        <v>9.9346153846154046E-3</v>
      </c>
      <c r="E62" s="34">
        <f t="shared" si="19"/>
        <v>0.84437500000000021</v>
      </c>
      <c r="F62" s="35" t="str">
        <f>IF($B33="","",IF(OR(N($I33)=0,L108&lt;Umbral_Reemplazar),"REEMPLAZAR",IF(OR($J33="Retrasada",$J33="En riesgo"),"EN RIESGO","APORTA")))</f>
        <v>REEMPLAZAR</v>
      </c>
      <c r="G62" s="7" t="str">
        <f t="shared" si="20"/>
        <v>Aporta 0,01 pp (1 % de la brecha). Si falla, la suficiencia baja de 85 % a 84 %.</v>
      </c>
    </row>
    <row r="63" spans="1:8" x14ac:dyDescent="0.25">
      <c r="A63" s="25" t="s">
        <v>77</v>
      </c>
      <c r="B63" s="14" t="str">
        <f t="shared" si="16"/>
        <v/>
      </c>
      <c r="C63" s="31" t="str">
        <f t="shared" si="17"/>
        <v/>
      </c>
      <c r="D63" s="34" t="str">
        <f t="shared" si="18"/>
        <v/>
      </c>
      <c r="E63" s="34" t="str">
        <f t="shared" si="19"/>
        <v/>
      </c>
      <c r="F63" s="35" t="str">
        <f>IF($B34="","",IF(OR(N($I34)=0,L109&lt;Umbral_Reemplazar),"REEMPLAZAR",IF(OR($J34="Retrasada",$J34="En riesgo"),"EN RIESGO","APORTA")))</f>
        <v/>
      </c>
      <c r="G63" s="7" t="str">
        <f t="shared" si="20"/>
        <v/>
      </c>
    </row>
    <row r="64" spans="1:8" x14ac:dyDescent="0.25">
      <c r="A64" s="25" t="s">
        <v>78</v>
      </c>
      <c r="B64" s="14" t="str">
        <f t="shared" si="16"/>
        <v/>
      </c>
      <c r="C64" s="31" t="str">
        <f t="shared" si="17"/>
        <v/>
      </c>
      <c r="D64" s="34" t="str">
        <f t="shared" si="18"/>
        <v/>
      </c>
      <c r="E64" s="34" t="str">
        <f t="shared" si="19"/>
        <v/>
      </c>
      <c r="F64" s="35" t="str">
        <f>IF($B35="","",IF(OR(N($I35)=0,L110&lt;Umbral_Reemplazar),"REEMPLAZAR",IF(OR($J35="Retrasada",$J35="En riesgo"),"EN RIESGO","APORTA")))</f>
        <v/>
      </c>
      <c r="G64" s="7" t="str">
        <f t="shared" si="20"/>
        <v/>
      </c>
    </row>
    <row r="65" spans="1:14" x14ac:dyDescent="0.25">
      <c r="A65" s="25" t="s">
        <v>79</v>
      </c>
      <c r="B65" s="14" t="str">
        <f t="shared" si="16"/>
        <v/>
      </c>
      <c r="C65" s="31" t="str">
        <f t="shared" si="17"/>
        <v/>
      </c>
      <c r="D65" s="34" t="str">
        <f t="shared" si="18"/>
        <v/>
      </c>
      <c r="E65" s="34" t="str">
        <f t="shared" si="19"/>
        <v/>
      </c>
      <c r="F65" s="35" t="str">
        <f>IF($B36="","",IF(OR(N($I36)=0,L111&lt;Umbral_Reemplazar),"REEMPLAZAR",IF(OR($J36="Retrasada",$J36="En riesgo"),"EN RIESGO","APORTA")))</f>
        <v/>
      </c>
      <c r="G65" s="7" t="str">
        <f t="shared" si="20"/>
        <v/>
      </c>
    </row>
    <row r="66" spans="1:14" x14ac:dyDescent="0.25">
      <c r="A66" s="36"/>
      <c r="C66" s="36"/>
      <c r="D66" s="36"/>
      <c r="E66" s="36"/>
      <c r="F66" s="36"/>
    </row>
    <row r="67" spans="1:14" ht="31.95" customHeight="1" x14ac:dyDescent="0.25">
      <c r="A67" s="37" t="s">
        <v>102</v>
      </c>
      <c r="B67" s="4" t="s">
        <v>103</v>
      </c>
      <c r="C67" s="37" t="s">
        <v>98</v>
      </c>
      <c r="D67" s="37" t="s">
        <v>99</v>
      </c>
      <c r="E67" s="37" t="s">
        <v>100</v>
      </c>
      <c r="F67" s="37" t="s">
        <v>101</v>
      </c>
      <c r="G67" s="4" t="s">
        <v>87</v>
      </c>
    </row>
    <row r="68" spans="1:14" x14ac:dyDescent="0.25">
      <c r="A68" s="25">
        <v>1</v>
      </c>
      <c r="B68" s="14" t="str">
        <f t="shared" ref="B68:G75" si="21">INDEX(B$58:B$65,$C114)</f>
        <v>Resolución en el primer contacto</v>
      </c>
      <c r="C68" s="31">
        <f t="shared" si="21"/>
        <v>0.19626923076923081</v>
      </c>
      <c r="D68" s="34">
        <f t="shared" si="21"/>
        <v>0.24533653846153855</v>
      </c>
      <c r="E68" s="34">
        <f t="shared" si="21"/>
        <v>0.60897307692307701</v>
      </c>
      <c r="F68" s="35" t="str">
        <f t="shared" si="21"/>
        <v>APORTA</v>
      </c>
      <c r="G68" s="7" t="str">
        <f t="shared" si="21"/>
        <v>Aporta 0,20 pp (25 % de la brecha). Si falla, la suficiencia baja de 85 % a 61 %.</v>
      </c>
    </row>
    <row r="69" spans="1:14" x14ac:dyDescent="0.25">
      <c r="A69" s="25">
        <v>2</v>
      </c>
      <c r="B69" s="14" t="str">
        <f t="shared" si="21"/>
        <v>Nuevo portafolio de planes competitivos</v>
      </c>
      <c r="C69" s="31">
        <f t="shared" si="21"/>
        <v>0.1727169230769231</v>
      </c>
      <c r="D69" s="34">
        <f t="shared" si="21"/>
        <v>0.21589615384615393</v>
      </c>
      <c r="E69" s="34">
        <f t="shared" si="21"/>
        <v>0.63841346153846168</v>
      </c>
      <c r="F69" s="35" t="str">
        <f t="shared" si="21"/>
        <v>EN RIESGO</v>
      </c>
      <c r="G69" s="7" t="str">
        <f t="shared" si="21"/>
        <v>Aporta 0,17 pp (22 % de la brecha). Si falla, la suficiencia baja de 85 % a 64 %.</v>
      </c>
    </row>
    <row r="70" spans="1:14" x14ac:dyDescent="0.25">
      <c r="A70" s="25">
        <v>3</v>
      </c>
      <c r="B70" s="14" t="str">
        <f t="shared" si="21"/>
        <v>Ofertas de retención con modelo predictivo</v>
      </c>
      <c r="C70" s="31">
        <f t="shared" si="21"/>
        <v>0.14638615384615383</v>
      </c>
      <c r="D70" s="34">
        <f t="shared" si="21"/>
        <v>0.18298269230769232</v>
      </c>
      <c r="E70" s="34">
        <f t="shared" si="21"/>
        <v>0.67132692307692321</v>
      </c>
      <c r="F70" s="35" t="str">
        <f t="shared" si="21"/>
        <v>APORTA</v>
      </c>
      <c r="G70" s="7" t="str">
        <f t="shared" si="21"/>
        <v>Aporta 0,15 pp (18 % de la brecha). Si falla, la suficiencia baja de 85 % a 67 %.</v>
      </c>
    </row>
    <row r="71" spans="1:14" x14ac:dyDescent="0.25">
      <c r="A71" s="25">
        <v>4</v>
      </c>
      <c r="B71" s="14" t="str">
        <f t="shared" si="21"/>
        <v>Densificación de red en zonas críticas</v>
      </c>
      <c r="C71" s="31">
        <f t="shared" si="21"/>
        <v>0.11630769230769233</v>
      </c>
      <c r="D71" s="34">
        <f t="shared" si="21"/>
        <v>0.14538461538461545</v>
      </c>
      <c r="E71" s="34">
        <f t="shared" si="21"/>
        <v>0.70892500000000014</v>
      </c>
      <c r="F71" s="35" t="str">
        <f t="shared" si="21"/>
        <v>EN RIESGO</v>
      </c>
      <c r="G71" s="7" t="str">
        <f t="shared" si="21"/>
        <v>Aporta 0,12 pp (15 % de la brecha). Si falla, la suficiencia baja de 85 % a 71 %.</v>
      </c>
    </row>
    <row r="72" spans="1:14" x14ac:dyDescent="0.25">
      <c r="A72" s="25">
        <v>5</v>
      </c>
      <c r="B72" s="14" t="str">
        <f t="shared" si="21"/>
        <v>Campaña de imagen de marca en redes</v>
      </c>
      <c r="C72" s="31">
        <f t="shared" si="21"/>
        <v>7.9476923076923223E-3</v>
      </c>
      <c r="D72" s="34">
        <f t="shared" si="21"/>
        <v>9.9346153846154046E-3</v>
      </c>
      <c r="E72" s="34">
        <f t="shared" si="21"/>
        <v>0.84437500000000021</v>
      </c>
      <c r="F72" s="35" t="str">
        <f t="shared" si="21"/>
        <v>REEMPLAZAR</v>
      </c>
      <c r="G72" s="7" t="str">
        <f t="shared" si="21"/>
        <v>Aporta 0,01 pp (1 % de la brecha). Si falla, la suficiencia baja de 85 % a 84 %.</v>
      </c>
    </row>
    <row r="73" spans="1:14" x14ac:dyDescent="0.25">
      <c r="A73" s="25">
        <v>6</v>
      </c>
      <c r="B73" s="14" t="str">
        <f t="shared" si="21"/>
        <v/>
      </c>
      <c r="C73" s="31" t="str">
        <f t="shared" si="21"/>
        <v/>
      </c>
      <c r="D73" s="34" t="str">
        <f t="shared" si="21"/>
        <v/>
      </c>
      <c r="E73" s="34" t="str">
        <f t="shared" si="21"/>
        <v/>
      </c>
      <c r="F73" s="35" t="str">
        <f t="shared" si="21"/>
        <v/>
      </c>
      <c r="G73" s="7" t="str">
        <f t="shared" si="21"/>
        <v/>
      </c>
    </row>
    <row r="74" spans="1:14" x14ac:dyDescent="0.25">
      <c r="A74" s="25">
        <v>7</v>
      </c>
      <c r="B74" s="14" t="str">
        <f t="shared" si="21"/>
        <v/>
      </c>
      <c r="C74" s="31" t="str">
        <f t="shared" si="21"/>
        <v/>
      </c>
      <c r="D74" s="34" t="str">
        <f t="shared" si="21"/>
        <v/>
      </c>
      <c r="E74" s="34" t="str">
        <f t="shared" si="21"/>
        <v/>
      </c>
      <c r="F74" s="35" t="str">
        <f t="shared" si="21"/>
        <v/>
      </c>
      <c r="G74" s="7" t="str">
        <f t="shared" si="21"/>
        <v/>
      </c>
    </row>
    <row r="75" spans="1:14" x14ac:dyDescent="0.25">
      <c r="A75" s="25">
        <v>8</v>
      </c>
      <c r="B75" s="14" t="str">
        <f t="shared" si="21"/>
        <v/>
      </c>
      <c r="C75" s="31" t="str">
        <f t="shared" si="21"/>
        <v/>
      </c>
      <c r="D75" s="34" t="str">
        <f t="shared" si="21"/>
        <v/>
      </c>
      <c r="E75" s="34" t="str">
        <f t="shared" si="21"/>
        <v/>
      </c>
      <c r="F75" s="35" t="str">
        <f t="shared" si="21"/>
        <v/>
      </c>
      <c r="G75" s="7" t="str">
        <f t="shared" si="21"/>
        <v/>
      </c>
    </row>
    <row r="77" spans="1:14" ht="22.05" customHeight="1" x14ac:dyDescent="0.25">
      <c r="A77" s="3" t="s">
        <v>104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9" spans="1:14" ht="42" customHeight="1" x14ac:dyDescent="0.25">
      <c r="A79" s="4"/>
      <c r="B79" s="4" t="s">
        <v>105</v>
      </c>
      <c r="C79" s="4" t="str">
        <f t="shared" ref="C79:H79" si="22">IF(C$17="","Dolor "&amp;(COLUMN()-2),C$17)</f>
        <v>Precio / oferta de la competencia</v>
      </c>
      <c r="D79" s="4" t="str">
        <f t="shared" si="22"/>
        <v>Fallas de red / cobertura</v>
      </c>
      <c r="E79" s="4" t="str">
        <f t="shared" si="22"/>
        <v>Reclamos no resueltos</v>
      </c>
      <c r="F79" s="4" t="str">
        <f t="shared" si="22"/>
        <v>Errores de facturación</v>
      </c>
      <c r="G79" s="4" t="str">
        <f t="shared" si="22"/>
        <v>No gestionable (mudanza, fallecimiento)</v>
      </c>
      <c r="H79" s="4" t="str">
        <f t="shared" si="22"/>
        <v>Dolor 6</v>
      </c>
    </row>
    <row r="80" spans="1:14" x14ac:dyDescent="0.25">
      <c r="A80" s="7" t="s">
        <v>72</v>
      </c>
      <c r="B80" s="14" t="str">
        <f t="shared" ref="B80:B87" si="23">IF(B29="","",B29)</f>
        <v>Nuevo portafolio de planes competitivos</v>
      </c>
      <c r="C80" s="21">
        <f>1-MIN(Tope_Efectividad,N(C29))</f>
        <v>0.55000000000000004</v>
      </c>
      <c r="D80" s="21">
        <f>1-MIN(Tope_Efectividad,N(D29))</f>
        <v>1</v>
      </c>
      <c r="E80" s="21">
        <f>1-MIN(Tope_Efectividad,N(E29))</f>
        <v>1</v>
      </c>
      <c r="F80" s="21">
        <f>1-MIN(Tope_Efectividad,N(F29))</f>
        <v>1</v>
      </c>
      <c r="G80" s="21">
        <f>1-MIN(Tope_Efectividad,N(G29))</f>
        <v>1</v>
      </c>
      <c r="H80" s="21">
        <f>1-MIN(Tope_Efectividad,N(H29))</f>
        <v>1</v>
      </c>
    </row>
    <row r="81" spans="1:8" x14ac:dyDescent="0.25">
      <c r="A81" s="7" t="s">
        <v>73</v>
      </c>
      <c r="B81" s="14" t="str">
        <f t="shared" si="23"/>
        <v>Ofertas de retención con modelo predictivo</v>
      </c>
      <c r="C81" s="21">
        <f>1-MIN(Tope_Efectividad,N(C30))</f>
        <v>0.9</v>
      </c>
      <c r="D81" s="21">
        <f>1-MIN(Tope_Efectividad,N(D30))</f>
        <v>1</v>
      </c>
      <c r="E81" s="21">
        <f>1-MIN(Tope_Efectividad,N(E30))</f>
        <v>0.85</v>
      </c>
      <c r="F81" s="21">
        <f>1-MIN(Tope_Efectividad,N(F30))</f>
        <v>1</v>
      </c>
      <c r="G81" s="21">
        <f>1-MIN(Tope_Efectividad,N(G30))</f>
        <v>1</v>
      </c>
      <c r="H81" s="21">
        <f>1-MIN(Tope_Efectividad,N(H30))</f>
        <v>1</v>
      </c>
    </row>
    <row r="82" spans="1:8" x14ac:dyDescent="0.25">
      <c r="A82" s="7" t="s">
        <v>74</v>
      </c>
      <c r="B82" s="14" t="str">
        <f t="shared" si="23"/>
        <v>Densificación de red en zonas críticas</v>
      </c>
      <c r="C82" s="21">
        <f>1-MIN(Tope_Efectividad,N(C31))</f>
        <v>1</v>
      </c>
      <c r="D82" s="21">
        <f>1-MIN(Tope_Efectividad,N(D31))</f>
        <v>0.7</v>
      </c>
      <c r="E82" s="21">
        <f>1-MIN(Tope_Efectividad,N(E31))</f>
        <v>1</v>
      </c>
      <c r="F82" s="21">
        <f>1-MIN(Tope_Efectividad,N(F31))</f>
        <v>1</v>
      </c>
      <c r="G82" s="21">
        <f>1-MIN(Tope_Efectividad,N(G31))</f>
        <v>1</v>
      </c>
      <c r="H82" s="21">
        <f>1-MIN(Tope_Efectividad,N(H31))</f>
        <v>1</v>
      </c>
    </row>
    <row r="83" spans="1:8" x14ac:dyDescent="0.25">
      <c r="A83" s="7" t="s">
        <v>75</v>
      </c>
      <c r="B83" s="14" t="str">
        <f t="shared" si="23"/>
        <v>Resolución en el primer contacto</v>
      </c>
      <c r="C83" s="21">
        <f>1-MIN(Tope_Efectividad,N(C32))</f>
        <v>1</v>
      </c>
      <c r="D83" s="21">
        <f>1-MIN(Tope_Efectividad,N(D32))</f>
        <v>1</v>
      </c>
      <c r="E83" s="21">
        <f>1-MIN(Tope_Efectividad,N(E32))</f>
        <v>0.7</v>
      </c>
      <c r="F83" s="21">
        <f>1-MIN(Tope_Efectividad,N(F32))</f>
        <v>0.75</v>
      </c>
      <c r="G83" s="21">
        <f>1-MIN(Tope_Efectividad,N(G32))</f>
        <v>1</v>
      </c>
      <c r="H83" s="21">
        <f>1-MIN(Tope_Efectividad,N(H32))</f>
        <v>1</v>
      </c>
    </row>
    <row r="84" spans="1:8" x14ac:dyDescent="0.25">
      <c r="A84" s="7" t="s">
        <v>76</v>
      </c>
      <c r="B84" s="14" t="str">
        <f t="shared" si="23"/>
        <v>Campaña de imagen de marca en redes</v>
      </c>
      <c r="C84" s="21">
        <f>1-MIN(Tope_Efectividad,N(C33))</f>
        <v>0.99</v>
      </c>
      <c r="D84" s="21">
        <f>1-MIN(Tope_Efectividad,N(D33))</f>
        <v>1</v>
      </c>
      <c r="E84" s="21">
        <f>1-MIN(Tope_Efectividad,N(E33))</f>
        <v>1</v>
      </c>
      <c r="F84" s="21">
        <f>1-MIN(Tope_Efectividad,N(F33))</f>
        <v>1</v>
      </c>
      <c r="G84" s="21">
        <f>1-MIN(Tope_Efectividad,N(G33))</f>
        <v>1</v>
      </c>
      <c r="H84" s="21">
        <f>1-MIN(Tope_Efectividad,N(H33))</f>
        <v>1</v>
      </c>
    </row>
    <row r="85" spans="1:8" x14ac:dyDescent="0.25">
      <c r="A85" s="7" t="s">
        <v>77</v>
      </c>
      <c r="B85" s="14" t="str">
        <f t="shared" si="23"/>
        <v/>
      </c>
      <c r="C85" s="21">
        <f>1-MIN(Tope_Efectividad,N(C34))</f>
        <v>1</v>
      </c>
      <c r="D85" s="21">
        <f>1-MIN(Tope_Efectividad,N(D34))</f>
        <v>1</v>
      </c>
      <c r="E85" s="21">
        <f>1-MIN(Tope_Efectividad,N(E34))</f>
        <v>1</v>
      </c>
      <c r="F85" s="21">
        <f>1-MIN(Tope_Efectividad,N(F34))</f>
        <v>1</v>
      </c>
      <c r="G85" s="21">
        <f>1-MIN(Tope_Efectividad,N(G34))</f>
        <v>1</v>
      </c>
      <c r="H85" s="21">
        <f>1-MIN(Tope_Efectividad,N(H34))</f>
        <v>1</v>
      </c>
    </row>
    <row r="86" spans="1:8" x14ac:dyDescent="0.25">
      <c r="A86" s="7" t="s">
        <v>78</v>
      </c>
      <c r="B86" s="14" t="str">
        <f t="shared" si="23"/>
        <v/>
      </c>
      <c r="C86" s="21">
        <f>1-MIN(Tope_Efectividad,N(C35))</f>
        <v>1</v>
      </c>
      <c r="D86" s="21">
        <f>1-MIN(Tope_Efectividad,N(D35))</f>
        <v>1</v>
      </c>
      <c r="E86" s="21">
        <f>1-MIN(Tope_Efectividad,N(E35))</f>
        <v>1</v>
      </c>
      <c r="F86" s="21">
        <f>1-MIN(Tope_Efectividad,N(F35))</f>
        <v>1</v>
      </c>
      <c r="G86" s="21">
        <f>1-MIN(Tope_Efectividad,N(G35))</f>
        <v>1</v>
      </c>
      <c r="H86" s="21">
        <f>1-MIN(Tope_Efectividad,N(H35))</f>
        <v>1</v>
      </c>
    </row>
    <row r="87" spans="1:8" x14ac:dyDescent="0.25">
      <c r="A87" s="7" t="s">
        <v>79</v>
      </c>
      <c r="B87" s="14" t="str">
        <f t="shared" si="23"/>
        <v/>
      </c>
      <c r="C87" s="21">
        <f>1-MIN(Tope_Efectividad,N(C36))</f>
        <v>1</v>
      </c>
      <c r="D87" s="21">
        <f>1-MIN(Tope_Efectividad,N(D36))</f>
        <v>1</v>
      </c>
      <c r="E87" s="21">
        <f>1-MIN(Tope_Efectividad,N(E36))</f>
        <v>1</v>
      </c>
      <c r="F87" s="21">
        <f>1-MIN(Tope_Efectividad,N(F36))</f>
        <v>1</v>
      </c>
      <c r="G87" s="21">
        <f>1-MIN(Tope_Efectividad,N(G36))</f>
        <v>1</v>
      </c>
      <c r="H87" s="21">
        <f>1-MIN(Tope_Efectividad,N(H36))</f>
        <v>1</v>
      </c>
    </row>
    <row r="88" spans="1:8" x14ac:dyDescent="0.25">
      <c r="B88" s="20" t="s">
        <v>107</v>
      </c>
      <c r="C88" s="30">
        <f t="shared" ref="C88:H88" si="24">PRODUCT(C80:C87)</f>
        <v>0.49005000000000004</v>
      </c>
      <c r="D88" s="30">
        <f t="shared" si="24"/>
        <v>0.7</v>
      </c>
      <c r="E88" s="30">
        <f t="shared" si="24"/>
        <v>0.59499999999999997</v>
      </c>
      <c r="F88" s="30">
        <f t="shared" si="24"/>
        <v>0.75</v>
      </c>
      <c r="G88" s="30">
        <f t="shared" si="24"/>
        <v>1</v>
      </c>
      <c r="H88" s="30">
        <f t="shared" si="24"/>
        <v>1</v>
      </c>
    </row>
    <row r="89" spans="1:8" x14ac:dyDescent="0.25">
      <c r="B89" s="20" t="s">
        <v>108</v>
      </c>
      <c r="C89" s="30">
        <f t="shared" ref="C89:H89" si="25">1-C88</f>
        <v>0.5099499999999999</v>
      </c>
      <c r="D89" s="30">
        <f t="shared" si="25"/>
        <v>0.30000000000000004</v>
      </c>
      <c r="E89" s="30">
        <f t="shared" si="25"/>
        <v>0.40500000000000003</v>
      </c>
      <c r="F89" s="30">
        <f t="shared" si="25"/>
        <v>0.25</v>
      </c>
      <c r="G89" s="30">
        <f t="shared" si="25"/>
        <v>0</v>
      </c>
      <c r="H89" s="30">
        <f t="shared" si="25"/>
        <v>0</v>
      </c>
    </row>
    <row r="91" spans="1:8" ht="42" customHeight="1" x14ac:dyDescent="0.25">
      <c r="A91" s="4"/>
      <c r="B91" s="4" t="s">
        <v>106</v>
      </c>
      <c r="C91" s="4" t="str">
        <f t="shared" ref="C91:H91" si="26">IF(C$17="","Dolor "&amp;(COLUMN()-2),C$17)</f>
        <v>Precio / oferta de la competencia</v>
      </c>
      <c r="D91" s="4" t="str">
        <f t="shared" si="26"/>
        <v>Fallas de red / cobertura</v>
      </c>
      <c r="E91" s="4" t="str">
        <f t="shared" si="26"/>
        <v>Reclamos no resueltos</v>
      </c>
      <c r="F91" s="4" t="str">
        <f t="shared" si="26"/>
        <v>Errores de facturación</v>
      </c>
      <c r="G91" s="4" t="str">
        <f t="shared" si="26"/>
        <v>No gestionable (mudanza, fallecimiento)</v>
      </c>
      <c r="H91" s="4" t="str">
        <f t="shared" si="26"/>
        <v>Dolor 6</v>
      </c>
    </row>
    <row r="92" spans="1:8" x14ac:dyDescent="0.25">
      <c r="A92" s="7" t="s">
        <v>72</v>
      </c>
      <c r="B92" s="14" t="str">
        <f t="shared" ref="B92:B99" si="27">IF(B29="","",B29)</f>
        <v>Nuevo portafolio de planes competitivos</v>
      </c>
      <c r="C92" s="21">
        <f>1-MIN(Tope_Efectividad,N(C29)*N($I29))</f>
        <v>0.82</v>
      </c>
      <c r="D92" s="21">
        <f>1-MIN(Tope_Efectividad,N(D29)*N($I29))</f>
        <v>1</v>
      </c>
      <c r="E92" s="21">
        <f>1-MIN(Tope_Efectividad,N(E29)*N($I29))</f>
        <v>1</v>
      </c>
      <c r="F92" s="21">
        <f>1-MIN(Tope_Efectividad,N(F29)*N($I29))</f>
        <v>1</v>
      </c>
      <c r="G92" s="21">
        <f>1-MIN(Tope_Efectividad,N(G29)*N($I29))</f>
        <v>1</v>
      </c>
      <c r="H92" s="21">
        <f>1-MIN(Tope_Efectividad,N(H29)*N($I29))</f>
        <v>1</v>
      </c>
    </row>
    <row r="93" spans="1:8" x14ac:dyDescent="0.25">
      <c r="A93" s="7" t="s">
        <v>73</v>
      </c>
      <c r="B93" s="14" t="str">
        <f t="shared" si="27"/>
        <v>Ofertas de retención con modelo predictivo</v>
      </c>
      <c r="C93" s="21">
        <f>1-MIN(Tope_Efectividad,N(C30)*N($I30))</f>
        <v>0.9</v>
      </c>
      <c r="D93" s="21">
        <f>1-MIN(Tope_Efectividad,N(D30)*N($I30))</f>
        <v>1</v>
      </c>
      <c r="E93" s="21">
        <f>1-MIN(Tope_Efectividad,N(E30)*N($I30))</f>
        <v>0.85</v>
      </c>
      <c r="F93" s="21">
        <f>1-MIN(Tope_Efectividad,N(F30)*N($I30))</f>
        <v>1</v>
      </c>
      <c r="G93" s="21">
        <f>1-MIN(Tope_Efectividad,N(G30)*N($I30))</f>
        <v>1</v>
      </c>
      <c r="H93" s="21">
        <f>1-MIN(Tope_Efectividad,N(H30)*N($I30))</f>
        <v>1</v>
      </c>
    </row>
    <row r="94" spans="1:8" x14ac:dyDescent="0.25">
      <c r="A94" s="7" t="s">
        <v>74</v>
      </c>
      <c r="B94" s="14" t="str">
        <f t="shared" si="27"/>
        <v>Densificación de red en zonas críticas</v>
      </c>
      <c r="C94" s="21">
        <f>1-MIN(Tope_Efectividad,N(C31)*N($I31))</f>
        <v>1</v>
      </c>
      <c r="D94" s="21">
        <f>1-MIN(Tope_Efectividad,N(D31)*N($I31))</f>
        <v>0.82000000000000006</v>
      </c>
      <c r="E94" s="21">
        <f>1-MIN(Tope_Efectividad,N(E31)*N($I31))</f>
        <v>1</v>
      </c>
      <c r="F94" s="21">
        <f>1-MIN(Tope_Efectividad,N(F31)*N($I31))</f>
        <v>1</v>
      </c>
      <c r="G94" s="21">
        <f>1-MIN(Tope_Efectividad,N(G31)*N($I31))</f>
        <v>1</v>
      </c>
      <c r="H94" s="21">
        <f>1-MIN(Tope_Efectividad,N(H31)*N($I31))</f>
        <v>1</v>
      </c>
    </row>
    <row r="95" spans="1:8" x14ac:dyDescent="0.25">
      <c r="A95" s="7" t="s">
        <v>75</v>
      </c>
      <c r="B95" s="14" t="str">
        <f t="shared" si="27"/>
        <v>Resolución en el primer contacto</v>
      </c>
      <c r="C95" s="21">
        <f>1-MIN(Tope_Efectividad,N(C32)*N($I32))</f>
        <v>1</v>
      </c>
      <c r="D95" s="21">
        <f>1-MIN(Tope_Efectividad,N(D32)*N($I32))</f>
        <v>1</v>
      </c>
      <c r="E95" s="21">
        <f>1-MIN(Tope_Efectividad,N(E32)*N($I32))</f>
        <v>0.73</v>
      </c>
      <c r="F95" s="21">
        <f>1-MIN(Tope_Efectividad,N(F32)*N($I32))</f>
        <v>0.77500000000000002</v>
      </c>
      <c r="G95" s="21">
        <f>1-MIN(Tope_Efectividad,N(G32)*N($I32))</f>
        <v>1</v>
      </c>
      <c r="H95" s="21">
        <f>1-MIN(Tope_Efectividad,N(H32)*N($I32))</f>
        <v>1</v>
      </c>
    </row>
    <row r="96" spans="1:8" x14ac:dyDescent="0.25">
      <c r="A96" s="7" t="s">
        <v>76</v>
      </c>
      <c r="B96" s="14" t="str">
        <f t="shared" si="27"/>
        <v>Campaña de imagen de marca en redes</v>
      </c>
      <c r="C96" s="21">
        <f>1-MIN(Tope_Efectividad,N(C33)*N($I33))</f>
        <v>0.99</v>
      </c>
      <c r="D96" s="21">
        <f>1-MIN(Tope_Efectividad,N(D33)*N($I33))</f>
        <v>1</v>
      </c>
      <c r="E96" s="21">
        <f>1-MIN(Tope_Efectividad,N(E33)*N($I33))</f>
        <v>1</v>
      </c>
      <c r="F96" s="21">
        <f>1-MIN(Tope_Efectividad,N(F33)*N($I33))</f>
        <v>1</v>
      </c>
      <c r="G96" s="21">
        <f>1-MIN(Tope_Efectividad,N(G33)*N($I33))</f>
        <v>1</v>
      </c>
      <c r="H96" s="21">
        <f>1-MIN(Tope_Efectividad,N(H33)*N($I33))</f>
        <v>1</v>
      </c>
    </row>
    <row r="97" spans="1:13" x14ac:dyDescent="0.25">
      <c r="A97" s="7" t="s">
        <v>77</v>
      </c>
      <c r="B97" s="14" t="str">
        <f t="shared" si="27"/>
        <v/>
      </c>
      <c r="C97" s="21">
        <f>1-MIN(Tope_Efectividad,N(C34)*N($I34))</f>
        <v>1</v>
      </c>
      <c r="D97" s="21">
        <f>1-MIN(Tope_Efectividad,N(D34)*N($I34))</f>
        <v>1</v>
      </c>
      <c r="E97" s="21">
        <f>1-MIN(Tope_Efectividad,N(E34)*N($I34))</f>
        <v>1</v>
      </c>
      <c r="F97" s="21">
        <f>1-MIN(Tope_Efectividad,N(F34)*N($I34))</f>
        <v>1</v>
      </c>
      <c r="G97" s="21">
        <f>1-MIN(Tope_Efectividad,N(G34)*N($I34))</f>
        <v>1</v>
      </c>
      <c r="H97" s="21">
        <f>1-MIN(Tope_Efectividad,N(H34)*N($I34))</f>
        <v>1</v>
      </c>
    </row>
    <row r="98" spans="1:13" x14ac:dyDescent="0.25">
      <c r="A98" s="7" t="s">
        <v>78</v>
      </c>
      <c r="B98" s="14" t="str">
        <f t="shared" si="27"/>
        <v/>
      </c>
      <c r="C98" s="21">
        <f>1-MIN(Tope_Efectividad,N(C35)*N($I35))</f>
        <v>1</v>
      </c>
      <c r="D98" s="21">
        <f>1-MIN(Tope_Efectividad,N(D35)*N($I35))</f>
        <v>1</v>
      </c>
      <c r="E98" s="21">
        <f>1-MIN(Tope_Efectividad,N(E35)*N($I35))</f>
        <v>1</v>
      </c>
      <c r="F98" s="21">
        <f>1-MIN(Tope_Efectividad,N(F35)*N($I35))</f>
        <v>1</v>
      </c>
      <c r="G98" s="21">
        <f>1-MIN(Tope_Efectividad,N(G35)*N($I35))</f>
        <v>1</v>
      </c>
      <c r="H98" s="21">
        <f>1-MIN(Tope_Efectividad,N(H35)*N($I35))</f>
        <v>1</v>
      </c>
    </row>
    <row r="99" spans="1:13" x14ac:dyDescent="0.25">
      <c r="A99" s="7" t="s">
        <v>79</v>
      </c>
      <c r="B99" s="14" t="str">
        <f t="shared" si="27"/>
        <v/>
      </c>
      <c r="C99" s="21">
        <f>1-MIN(Tope_Efectividad,N(C36)*N($I36))</f>
        <v>1</v>
      </c>
      <c r="D99" s="21">
        <f>1-MIN(Tope_Efectividad,N(D36)*N($I36))</f>
        <v>1</v>
      </c>
      <c r="E99" s="21">
        <f>1-MIN(Tope_Efectividad,N(E36)*N($I36))</f>
        <v>1</v>
      </c>
      <c r="F99" s="21">
        <f>1-MIN(Tope_Efectividad,N(F36)*N($I36))</f>
        <v>1</v>
      </c>
      <c r="G99" s="21">
        <f>1-MIN(Tope_Efectividad,N(G36)*N($I36))</f>
        <v>1</v>
      </c>
      <c r="H99" s="21">
        <f>1-MIN(Tope_Efectividad,N(H36)*N($I36))</f>
        <v>1</v>
      </c>
    </row>
    <row r="100" spans="1:13" x14ac:dyDescent="0.25">
      <c r="B100" s="20" t="s">
        <v>107</v>
      </c>
      <c r="C100" s="30">
        <f t="shared" ref="C100:H100" si="28">PRODUCT(C92:C99)</f>
        <v>0.73061999999999994</v>
      </c>
      <c r="D100" s="30">
        <f t="shared" si="28"/>
        <v>0.82000000000000006</v>
      </c>
      <c r="E100" s="30">
        <f t="shared" si="28"/>
        <v>0.62049999999999994</v>
      </c>
      <c r="F100" s="30">
        <f t="shared" si="28"/>
        <v>0.77500000000000002</v>
      </c>
      <c r="G100" s="30">
        <f t="shared" si="28"/>
        <v>1</v>
      </c>
      <c r="H100" s="30">
        <f t="shared" si="28"/>
        <v>1</v>
      </c>
    </row>
    <row r="101" spans="1:13" x14ac:dyDescent="0.25">
      <c r="B101" s="20" t="s">
        <v>109</v>
      </c>
      <c r="C101" s="30">
        <f t="shared" ref="C101:H101" si="29">1-C100</f>
        <v>0.26938000000000006</v>
      </c>
      <c r="D101" s="30">
        <f t="shared" si="29"/>
        <v>0.17999999999999994</v>
      </c>
      <c r="E101" s="30">
        <f t="shared" si="29"/>
        <v>0.37950000000000006</v>
      </c>
      <c r="F101" s="30">
        <f t="shared" si="29"/>
        <v>0.22499999999999998</v>
      </c>
      <c r="G101" s="30">
        <f t="shared" si="29"/>
        <v>0</v>
      </c>
      <c r="H101" s="30">
        <f t="shared" si="29"/>
        <v>0</v>
      </c>
    </row>
    <row r="103" spans="1:13" ht="42" customHeight="1" x14ac:dyDescent="0.25">
      <c r="A103" s="4"/>
      <c r="B103" s="4" t="s">
        <v>110</v>
      </c>
      <c r="C103" s="4" t="str">
        <f t="shared" ref="C103:H103" si="30">IF(C$17="","Dolor "&amp;(COLUMN()-2),C$17)</f>
        <v>Precio / oferta de la competencia</v>
      </c>
      <c r="D103" s="4" t="str">
        <f t="shared" si="30"/>
        <v>Fallas de red / cobertura</v>
      </c>
      <c r="E103" s="4" t="str">
        <f t="shared" si="30"/>
        <v>Reclamos no resueltos</v>
      </c>
      <c r="F103" s="4" t="str">
        <f t="shared" si="30"/>
        <v>Errores de facturación</v>
      </c>
      <c r="G103" s="4" t="str">
        <f t="shared" si="30"/>
        <v>No gestionable (mudanza, fallecimiento)</v>
      </c>
      <c r="H103" s="4" t="str">
        <f t="shared" si="30"/>
        <v>Dolor 6</v>
      </c>
      <c r="I103" s="4" t="s">
        <v>111</v>
      </c>
      <c r="J103" s="4" t="s">
        <v>112</v>
      </c>
      <c r="K103" s="4" t="s">
        <v>98</v>
      </c>
      <c r="L103" s="4" t="s">
        <v>99</v>
      </c>
      <c r="M103" s="4" t="s">
        <v>113</v>
      </c>
    </row>
    <row r="104" spans="1:13" x14ac:dyDescent="0.25">
      <c r="A104" s="7" t="s">
        <v>72</v>
      </c>
      <c r="B104" s="14" t="str">
        <f t="shared" ref="B104:B111" si="31">IF(B29="","",B29)</f>
        <v>Nuevo portafolio de planes competitivos</v>
      </c>
      <c r="C104" s="21">
        <f t="shared" ref="C104:H111" si="32">1-C$100/C92</f>
        <v>0.10899999999999999</v>
      </c>
      <c r="D104" s="21">
        <f t="shared" si="32"/>
        <v>0.17999999999999994</v>
      </c>
      <c r="E104" s="21">
        <f t="shared" si="32"/>
        <v>0.37950000000000006</v>
      </c>
      <c r="F104" s="21">
        <f t="shared" si="32"/>
        <v>0.22499999999999998</v>
      </c>
      <c r="G104" s="21">
        <f t="shared" si="32"/>
        <v>0</v>
      </c>
      <c r="H104" s="21">
        <f t="shared" si="32"/>
        <v>0</v>
      </c>
      <c r="I104" s="16">
        <f t="shared" ref="I104:I111" si="33">$C$11*SUMPRODUCT($C$22:$H$22,C104:H104)</f>
        <v>0.51073076923076921</v>
      </c>
      <c r="J104" s="21">
        <f t="shared" ref="J104:J111" si="34">IF($C$12=0,0,I104/$C$12)</f>
        <v>0.63841346153846168</v>
      </c>
      <c r="K104" s="38">
        <f t="shared" ref="K104:K111" si="35">$D$41-I104</f>
        <v>0.1727169230769231</v>
      </c>
      <c r="L104" s="21">
        <f t="shared" ref="L104:L111" si="36">IF($C$12=0,0,K104/$C$12)</f>
        <v>0.21589615384615393</v>
      </c>
      <c r="M104" s="39">
        <f t="shared" ref="M104:M111" si="37">IF(B29="",-1,K104)-ROW()/1000000000</f>
        <v>0.1727168190769231</v>
      </c>
    </row>
    <row r="105" spans="1:13" x14ac:dyDescent="0.25">
      <c r="A105" s="7" t="s">
        <v>73</v>
      </c>
      <c r="B105" s="14" t="str">
        <f t="shared" si="31"/>
        <v>Ofertas de retención con modelo predictivo</v>
      </c>
      <c r="C105" s="21">
        <f t="shared" si="32"/>
        <v>0.18820000000000014</v>
      </c>
      <c r="D105" s="21">
        <f t="shared" si="32"/>
        <v>0.17999999999999994</v>
      </c>
      <c r="E105" s="21">
        <f t="shared" si="32"/>
        <v>0.27</v>
      </c>
      <c r="F105" s="21">
        <f t="shared" si="32"/>
        <v>0.22499999999999998</v>
      </c>
      <c r="G105" s="21">
        <f t="shared" si="32"/>
        <v>0</v>
      </c>
      <c r="H105" s="21">
        <f t="shared" si="32"/>
        <v>0</v>
      </c>
      <c r="I105" s="16">
        <f t="shared" si="33"/>
        <v>0.53706153846153848</v>
      </c>
      <c r="J105" s="21">
        <f t="shared" si="34"/>
        <v>0.67132692307692321</v>
      </c>
      <c r="K105" s="38">
        <f t="shared" si="35"/>
        <v>0.14638615384615383</v>
      </c>
      <c r="L105" s="21">
        <f t="shared" si="36"/>
        <v>0.18298269230769232</v>
      </c>
      <c r="M105" s="39">
        <f t="shared" si="37"/>
        <v>0.14638604884615383</v>
      </c>
    </row>
    <row r="106" spans="1:13" x14ac:dyDescent="0.25">
      <c r="A106" s="7" t="s">
        <v>74</v>
      </c>
      <c r="B106" s="14" t="str">
        <f t="shared" si="31"/>
        <v>Densificación de red en zonas críticas</v>
      </c>
      <c r="C106" s="21">
        <f t="shared" si="32"/>
        <v>0.26938000000000006</v>
      </c>
      <c r="D106" s="21">
        <f t="shared" si="32"/>
        <v>0</v>
      </c>
      <c r="E106" s="21">
        <f t="shared" si="32"/>
        <v>0.37950000000000006</v>
      </c>
      <c r="F106" s="21">
        <f t="shared" si="32"/>
        <v>0.22499999999999998</v>
      </c>
      <c r="G106" s="21">
        <f t="shared" si="32"/>
        <v>0</v>
      </c>
      <c r="H106" s="21">
        <f t="shared" si="32"/>
        <v>0</v>
      </c>
      <c r="I106" s="16">
        <f t="shared" si="33"/>
        <v>0.56713999999999998</v>
      </c>
      <c r="J106" s="21">
        <f t="shared" si="34"/>
        <v>0.70892500000000014</v>
      </c>
      <c r="K106" s="38">
        <f t="shared" si="35"/>
        <v>0.11630769230769233</v>
      </c>
      <c r="L106" s="21">
        <f t="shared" si="36"/>
        <v>0.14538461538461545</v>
      </c>
      <c r="M106" s="39">
        <f t="shared" si="37"/>
        <v>0.11630758630769233</v>
      </c>
    </row>
    <row r="107" spans="1:13" x14ac:dyDescent="0.25">
      <c r="A107" s="7" t="s">
        <v>75</v>
      </c>
      <c r="B107" s="14" t="str">
        <f t="shared" si="31"/>
        <v>Resolución en el primer contacto</v>
      </c>
      <c r="C107" s="21">
        <f t="shared" si="32"/>
        <v>0.26938000000000006</v>
      </c>
      <c r="D107" s="21">
        <f t="shared" si="32"/>
        <v>0.17999999999999994</v>
      </c>
      <c r="E107" s="21">
        <f t="shared" si="32"/>
        <v>0.15000000000000002</v>
      </c>
      <c r="F107" s="21">
        <f t="shared" si="32"/>
        <v>0</v>
      </c>
      <c r="G107" s="21">
        <f t="shared" si="32"/>
        <v>0</v>
      </c>
      <c r="H107" s="21">
        <f t="shared" si="32"/>
        <v>0</v>
      </c>
      <c r="I107" s="16">
        <f t="shared" si="33"/>
        <v>0.4871784615384615</v>
      </c>
      <c r="J107" s="21">
        <f t="shared" si="34"/>
        <v>0.60897307692307701</v>
      </c>
      <c r="K107" s="38">
        <f t="shared" si="35"/>
        <v>0.19626923076923081</v>
      </c>
      <c r="L107" s="21">
        <f t="shared" si="36"/>
        <v>0.24533653846153855</v>
      </c>
      <c r="M107" s="39">
        <f t="shared" si="37"/>
        <v>0.19626912376923081</v>
      </c>
    </row>
    <row r="108" spans="1:13" x14ac:dyDescent="0.25">
      <c r="A108" s="7" t="s">
        <v>76</v>
      </c>
      <c r="B108" s="14" t="str">
        <f t="shared" si="31"/>
        <v>Campaña de imagen de marca en redes</v>
      </c>
      <c r="C108" s="21">
        <f t="shared" si="32"/>
        <v>0.26200000000000001</v>
      </c>
      <c r="D108" s="21">
        <f t="shared" si="32"/>
        <v>0.17999999999999994</v>
      </c>
      <c r="E108" s="21">
        <f t="shared" si="32"/>
        <v>0.37950000000000006</v>
      </c>
      <c r="F108" s="21">
        <f t="shared" si="32"/>
        <v>0.22499999999999998</v>
      </c>
      <c r="G108" s="21">
        <f t="shared" si="32"/>
        <v>0</v>
      </c>
      <c r="H108" s="21">
        <f t="shared" si="32"/>
        <v>0</v>
      </c>
      <c r="I108" s="16">
        <f t="shared" si="33"/>
        <v>0.67549999999999999</v>
      </c>
      <c r="J108" s="21">
        <f t="shared" si="34"/>
        <v>0.84437500000000021</v>
      </c>
      <c r="K108" s="38">
        <f t="shared" si="35"/>
        <v>7.9476923076923223E-3</v>
      </c>
      <c r="L108" s="21">
        <f t="shared" si="36"/>
        <v>9.9346153846154046E-3</v>
      </c>
      <c r="M108" s="39">
        <f t="shared" si="37"/>
        <v>7.9475843076923219E-3</v>
      </c>
    </row>
    <row r="109" spans="1:13" x14ac:dyDescent="0.25">
      <c r="A109" s="7" t="s">
        <v>77</v>
      </c>
      <c r="B109" s="14" t="str">
        <f t="shared" si="31"/>
        <v/>
      </c>
      <c r="C109" s="21">
        <f t="shared" si="32"/>
        <v>0.26938000000000006</v>
      </c>
      <c r="D109" s="21">
        <f t="shared" si="32"/>
        <v>0.17999999999999994</v>
      </c>
      <c r="E109" s="21">
        <f t="shared" si="32"/>
        <v>0.37950000000000006</v>
      </c>
      <c r="F109" s="21">
        <f t="shared" si="32"/>
        <v>0.22499999999999998</v>
      </c>
      <c r="G109" s="21">
        <f t="shared" si="32"/>
        <v>0</v>
      </c>
      <c r="H109" s="21">
        <f t="shared" si="32"/>
        <v>0</v>
      </c>
      <c r="I109" s="16">
        <f t="shared" si="33"/>
        <v>0.6834476923076922</v>
      </c>
      <c r="J109" s="21">
        <f t="shared" si="34"/>
        <v>0.85430961538461547</v>
      </c>
      <c r="K109" s="38">
        <f t="shared" si="35"/>
        <v>0</v>
      </c>
      <c r="L109" s="21">
        <f t="shared" si="36"/>
        <v>0</v>
      </c>
      <c r="M109" s="39">
        <f t="shared" si="37"/>
        <v>-1.0000001089999999</v>
      </c>
    </row>
    <row r="110" spans="1:13" x14ac:dyDescent="0.25">
      <c r="A110" s="7" t="s">
        <v>78</v>
      </c>
      <c r="B110" s="14" t="str">
        <f t="shared" si="31"/>
        <v/>
      </c>
      <c r="C110" s="21">
        <f t="shared" si="32"/>
        <v>0.26938000000000006</v>
      </c>
      <c r="D110" s="21">
        <f t="shared" si="32"/>
        <v>0.17999999999999994</v>
      </c>
      <c r="E110" s="21">
        <f t="shared" si="32"/>
        <v>0.37950000000000006</v>
      </c>
      <c r="F110" s="21">
        <f t="shared" si="32"/>
        <v>0.22499999999999998</v>
      </c>
      <c r="G110" s="21">
        <f t="shared" si="32"/>
        <v>0</v>
      </c>
      <c r="H110" s="21">
        <f t="shared" si="32"/>
        <v>0</v>
      </c>
      <c r="I110" s="16">
        <f t="shared" si="33"/>
        <v>0.6834476923076922</v>
      </c>
      <c r="J110" s="21">
        <f t="shared" si="34"/>
        <v>0.85430961538461547</v>
      </c>
      <c r="K110" s="38">
        <f t="shared" si="35"/>
        <v>0</v>
      </c>
      <c r="L110" s="21">
        <f t="shared" si="36"/>
        <v>0</v>
      </c>
      <c r="M110" s="39">
        <f t="shared" si="37"/>
        <v>-1.00000011</v>
      </c>
    </row>
    <row r="111" spans="1:13" x14ac:dyDescent="0.25">
      <c r="A111" s="7" t="s">
        <v>79</v>
      </c>
      <c r="B111" s="14" t="str">
        <f t="shared" si="31"/>
        <v/>
      </c>
      <c r="C111" s="21">
        <f t="shared" si="32"/>
        <v>0.26938000000000006</v>
      </c>
      <c r="D111" s="21">
        <f t="shared" si="32"/>
        <v>0.17999999999999994</v>
      </c>
      <c r="E111" s="21">
        <f t="shared" si="32"/>
        <v>0.37950000000000006</v>
      </c>
      <c r="F111" s="21">
        <f t="shared" si="32"/>
        <v>0.22499999999999998</v>
      </c>
      <c r="G111" s="21">
        <f t="shared" si="32"/>
        <v>0</v>
      </c>
      <c r="H111" s="21">
        <f t="shared" si="32"/>
        <v>0</v>
      </c>
      <c r="I111" s="16">
        <f t="shared" si="33"/>
        <v>0.6834476923076922</v>
      </c>
      <c r="J111" s="21">
        <f t="shared" si="34"/>
        <v>0.85430961538461547</v>
      </c>
      <c r="K111" s="38">
        <f t="shared" si="35"/>
        <v>0</v>
      </c>
      <c r="L111" s="21">
        <f t="shared" si="36"/>
        <v>0</v>
      </c>
      <c r="M111" s="39">
        <f t="shared" si="37"/>
        <v>-1.0000001110000001</v>
      </c>
    </row>
    <row r="113" spans="1:3" ht="26.4" x14ac:dyDescent="0.25">
      <c r="A113" s="4" t="s">
        <v>102</v>
      </c>
      <c r="B113" s="4" t="s">
        <v>114</v>
      </c>
      <c r="C113" s="4" t="s">
        <v>115</v>
      </c>
    </row>
    <row r="114" spans="1:3" x14ac:dyDescent="0.25">
      <c r="A114" s="7">
        <v>1</v>
      </c>
      <c r="C114" s="14">
        <f t="shared" ref="C114:C121" si="38">MATCH(LARGE($M$104:$M$111,A114),$M$104:$M$111,0)</f>
        <v>4</v>
      </c>
    </row>
    <row r="115" spans="1:3" x14ac:dyDescent="0.25">
      <c r="A115" s="7">
        <v>2</v>
      </c>
      <c r="C115" s="14">
        <f t="shared" si="38"/>
        <v>1</v>
      </c>
    </row>
    <row r="116" spans="1:3" x14ac:dyDescent="0.25">
      <c r="A116" s="7">
        <v>3</v>
      </c>
      <c r="C116" s="14">
        <f t="shared" si="38"/>
        <v>2</v>
      </c>
    </row>
    <row r="117" spans="1:3" x14ac:dyDescent="0.25">
      <c r="A117" s="7">
        <v>4</v>
      </c>
      <c r="C117" s="14">
        <f t="shared" si="38"/>
        <v>3</v>
      </c>
    </row>
    <row r="118" spans="1:3" x14ac:dyDescent="0.25">
      <c r="A118" s="7">
        <v>5</v>
      </c>
      <c r="C118" s="14">
        <f t="shared" si="38"/>
        <v>5</v>
      </c>
    </row>
    <row r="119" spans="1:3" x14ac:dyDescent="0.25">
      <c r="A119" s="7">
        <v>6</v>
      </c>
      <c r="C119" s="14">
        <f t="shared" si="38"/>
        <v>6</v>
      </c>
    </row>
    <row r="120" spans="1:3" x14ac:dyDescent="0.25">
      <c r="A120" s="7">
        <v>7</v>
      </c>
      <c r="C120" s="14">
        <f t="shared" si="38"/>
        <v>7</v>
      </c>
    </row>
    <row r="121" spans="1:3" x14ac:dyDescent="0.25">
      <c r="A121" s="7">
        <v>8</v>
      </c>
      <c r="C121" s="14">
        <f t="shared" si="38"/>
        <v>8</v>
      </c>
    </row>
    <row r="123" spans="1:3" x14ac:dyDescent="0.25">
      <c r="B123" s="4" t="s">
        <v>116</v>
      </c>
      <c r="C123" s="4" t="s">
        <v>14</v>
      </c>
    </row>
    <row r="124" spans="1:3" x14ac:dyDescent="0.25">
      <c r="B124" s="14" t="s">
        <v>117</v>
      </c>
      <c r="C124" s="16">
        <f>N(C8)</f>
        <v>2.8</v>
      </c>
    </row>
    <row r="125" spans="1:3" x14ac:dyDescent="0.25">
      <c r="B125" s="14" t="s">
        <v>118</v>
      </c>
      <c r="C125" s="16">
        <f>N(D44)</f>
        <v>2.1165523076923076</v>
      </c>
    </row>
    <row r="126" spans="1:3" x14ac:dyDescent="0.25">
      <c r="B126" s="14" t="s">
        <v>119</v>
      </c>
      <c r="C126" s="16">
        <f>N(C44)</f>
        <v>1.7581307692307693</v>
      </c>
    </row>
    <row r="127" spans="1:3" x14ac:dyDescent="0.25">
      <c r="B127" s="14" t="s">
        <v>38</v>
      </c>
      <c r="C127" s="16">
        <f>N(C9)</f>
        <v>2</v>
      </c>
    </row>
    <row r="129" spans="2:3" x14ac:dyDescent="0.25">
      <c r="B129" s="4" t="s">
        <v>120</v>
      </c>
      <c r="C129" s="4" t="s">
        <v>14</v>
      </c>
    </row>
    <row r="130" spans="2:3" x14ac:dyDescent="0.25">
      <c r="B130" s="14" t="s">
        <v>121</v>
      </c>
      <c r="C130" s="14" t="str">
        <f>IF(C7="%","pp",IF(C7="","puntos",C7))</f>
        <v>pp</v>
      </c>
    </row>
    <row r="131" spans="2:3" x14ac:dyDescent="0.25">
      <c r="B131" s="14" t="s">
        <v>122</v>
      </c>
      <c r="C131" s="14">
        <f>IF(C10="",IF(C6="Sube es mejor",100,0),C10)</f>
        <v>0</v>
      </c>
    </row>
    <row r="132" spans="2:3" x14ac:dyDescent="0.25">
      <c r="B132" s="14" t="s">
        <v>123</v>
      </c>
      <c r="C132" s="14">
        <f>IF(MAX(C22:H22)=0,0,MATCH(MAX(C22:H22),C22:H22,0))</f>
        <v>1</v>
      </c>
    </row>
    <row r="133" spans="2:3" x14ac:dyDescent="0.25">
      <c r="B133" s="14" t="s">
        <v>124</v>
      </c>
      <c r="C133" s="14" t="str">
        <f>IF(C132=0,"",INDEX(C17:H17,C132))</f>
        <v>Precio / oferta de la competencia</v>
      </c>
    </row>
  </sheetData>
  <sheetProtection sheet="1" objects="1" scenarios="1" formatCells="0" formatColumns="0" formatRows="0"/>
  <conditionalFormatting sqref="E6:E8">
    <cfRule type="containsText" dxfId="84" priority="1" stopIfTrue="1" operator="containsText" text="⚠">
      <formula>NOT(ISERROR(SEARCH("⚠",E6)))</formula>
    </cfRule>
    <cfRule type="containsText" dxfId="83" priority="2" stopIfTrue="1" operator="containsText" text="✔">
      <formula>NOT(ISERROR(SEARCH("✔",E6)))</formula>
    </cfRule>
  </conditionalFormatting>
  <conditionalFormatting sqref="C24">
    <cfRule type="containsText" dxfId="82" priority="3" stopIfTrue="1" operator="containsText" text="⚠">
      <formula>NOT(ISERROR(SEARCH("⚠",C24)))</formula>
    </cfRule>
    <cfRule type="containsText" dxfId="81" priority="4" stopIfTrue="1" operator="containsText" text="✔">
      <formula>NOT(ISERROR(SEARCH("✔",C24)))</formula>
    </cfRule>
  </conditionalFormatting>
  <conditionalFormatting sqref="N29:N36">
    <cfRule type="containsText" dxfId="80" priority="5" stopIfTrue="1" operator="containsText" text="⚠">
      <formula>NOT(ISERROR(SEARCH("⚠",N29)))</formula>
    </cfRule>
    <cfRule type="containsText" dxfId="79" priority="6" stopIfTrue="1" operator="containsText" text="✔">
      <formula>NOT(ISERROR(SEARCH("✔",N29)))</formula>
    </cfRule>
  </conditionalFormatting>
  <conditionalFormatting sqref="C37">
    <cfRule type="containsText" dxfId="78" priority="7" stopIfTrue="1" operator="containsText" text="⚠">
      <formula>NOT(ISERROR(SEARCH("⚠",C37)))</formula>
    </cfRule>
    <cfRule type="containsText" dxfId="77" priority="8" stopIfTrue="1" operator="containsText" text="✔">
      <formula>NOT(ISERROR(SEARCH("✔",C37)))</formula>
    </cfRule>
  </conditionalFormatting>
  <conditionalFormatting sqref="C43:D43">
    <cfRule type="containsText" dxfId="76" priority="9" stopIfTrue="1" operator="containsText" text="VERDE">
      <formula>NOT(ISERROR(SEARCH("VERDE",C43)))</formula>
    </cfRule>
    <cfRule type="containsText" dxfId="75" priority="10" stopIfTrue="1" operator="containsText" text="META CUMPLIDA">
      <formula>NOT(ISERROR(SEARCH("META CUMPLIDA",C43)))</formula>
    </cfRule>
    <cfRule type="containsText" dxfId="74" priority="11" stopIfTrue="1" operator="containsText" text="AMARILLO">
      <formula>NOT(ISERROR(SEARCH("AMARILLO",C43)))</formula>
    </cfRule>
    <cfRule type="containsText" dxfId="73" priority="12" stopIfTrue="1" operator="containsText" text="ROJO">
      <formula>NOT(ISERROR(SEARCH("ROJO",C43)))</formula>
    </cfRule>
  </conditionalFormatting>
  <conditionalFormatting sqref="C55:H55">
    <cfRule type="containsText" dxfId="72" priority="13" stopIfTrue="1" operator="containsText" text="⚠">
      <formula>NOT(ISERROR(SEARCH("⚠",C55)))</formula>
    </cfRule>
    <cfRule type="containsText" dxfId="71" priority="14" stopIfTrue="1" operator="containsText" text="✔">
      <formula>NOT(ISERROR(SEARCH("✔",C55)))</formula>
    </cfRule>
  </conditionalFormatting>
  <conditionalFormatting sqref="F58:F65">
    <cfRule type="containsText" dxfId="70" priority="15" stopIfTrue="1" operator="containsText" text="REEMPLAZAR">
      <formula>NOT(ISERROR(SEARCH("REEMPLAZAR",F58)))</formula>
    </cfRule>
    <cfRule type="containsText" dxfId="69" priority="16" stopIfTrue="1" operator="containsText" text="EN RIESGO">
      <formula>NOT(ISERROR(SEARCH("EN RIESGO",F58)))</formula>
    </cfRule>
    <cfRule type="containsText" dxfId="68" priority="17" stopIfTrue="1" operator="containsText" text="APORTA">
      <formula>NOT(ISERROR(SEARCH("APORTA",F58)))</formula>
    </cfRule>
  </conditionalFormatting>
  <conditionalFormatting sqref="F68:F75">
    <cfRule type="containsText" dxfId="67" priority="18" stopIfTrue="1" operator="containsText" text="REEMPLAZAR">
      <formula>NOT(ISERROR(SEARCH("REEMPLAZAR",F68)))</formula>
    </cfRule>
    <cfRule type="containsText" dxfId="66" priority="19" stopIfTrue="1" operator="containsText" text="EN RIESGO">
      <formula>NOT(ISERROR(SEARCH("EN RIESGO",F68)))</formula>
    </cfRule>
    <cfRule type="containsText" dxfId="65" priority="20" stopIfTrue="1" operator="containsText" text="APORTA">
      <formula>NOT(ISERROR(SEARCH("APORTA",F68)))</formula>
    </cfRule>
  </conditionalFormatting>
  <dataValidations count="4">
    <dataValidation type="whole" operator="greaterThanOrEqual" allowBlank="1" showInputMessage="1" showErrorMessage="1" errorTitle="Casos" error="Escribe un número entero mayor o igual a 0." sqref="C13" xr:uid="{459DF58A-0F1F-4AF9-8918-1325C4F468B3}">
      <formula1>0</formula1>
    </dataValidation>
    <dataValidation type="whole" operator="greaterThanOrEqual" allowBlank="1" showInputMessage="1" showErrorMessage="1" errorTitle="Casos" error="Escribe un número entero mayor o igual a 0." sqref="C18:H18" xr:uid="{23ABA0AE-C6A5-4F99-925D-47D65AD89F0D}">
      <formula1>0</formula1>
    </dataValidation>
    <dataValidation type="decimal" allowBlank="1" showInputMessage="1" showErrorMessage="1" errorTitle="Porcentaje" error="Escribe un porcentaje entre 0 % y 100 % (ej. 40 %)." sqref="C21:H21" xr:uid="{17CB03CC-AAAC-469C-9E18-E5604122C97E}">
      <formula1>0</formula1>
      <formula2>1</formula2>
    </dataValidation>
    <dataValidation type="decimal" allowBlank="1" showInputMessage="1" showErrorMessage="1" errorTitle="Porcentaje" error="Escribe un porcentaje entre 0 % y 100 % (ej. 40 %)." sqref="C29:I36" xr:uid="{1491037D-400E-4172-A117-7B524B9FA39C}">
      <formula1>0</formula1>
      <formula2>1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6BAE57-167E-462D-B266-F7E691641D95}">
          <x14:formula1>
            <xm:f>Parametros!$B$19:$B$20</xm:f>
          </x14:formula1>
          <xm:sqref>C6</xm:sqref>
        </x14:dataValidation>
        <x14:dataValidation type="list" allowBlank="1" showInputMessage="1" showErrorMessage="1" xr:uid="{67EFC7F4-FD1F-4BE3-9B9F-A7ADE3E55A77}">
          <x14:formula1>
            <xm:f>Parametros!$C$19:$C$21</xm:f>
          </x14:formula1>
          <xm:sqref>J29:J36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42BF-7369-4099-BF26-2E714A405C72}">
  <sheetPr>
    <tabColor rgb="FF5B9BD5"/>
  </sheetPr>
  <dimension ref="A1:N133"/>
  <sheetViews>
    <sheetView showGridLines="0" zoomScale="90" zoomScaleNormal="90" workbookViewId="0"/>
  </sheetViews>
  <sheetFormatPr baseColWidth="10" defaultRowHeight="13.2" x14ac:dyDescent="0.25"/>
  <cols>
    <col min="1" max="1" width="8.77734375" style="7" customWidth="1"/>
    <col min="2" max="2" width="46.77734375" style="7" customWidth="1"/>
    <col min="3" max="8" width="16.77734375" style="7" customWidth="1"/>
    <col min="9" max="9" width="14.77734375" style="7" customWidth="1"/>
    <col min="10" max="10" width="13.77734375" style="7" customWidth="1"/>
    <col min="11" max="11" width="16.77734375" style="7" customWidth="1"/>
    <col min="12" max="12" width="13.77734375" style="7" customWidth="1"/>
    <col min="13" max="13" width="42.77734375" style="7" customWidth="1"/>
    <col min="14" max="14" width="24.77734375" style="7" customWidth="1"/>
    <col min="15" max="16384" width="11.5546875" style="7"/>
  </cols>
  <sheetData>
    <row r="1" spans="1:14" ht="21" x14ac:dyDescent="0.25">
      <c r="A1" s="8" t="str">
        <f>"Suficiencia del indicador: "&amp;IF(C5="","(sin nombre)",C5)</f>
        <v>Suficiencia del indicador: Instalaciones en fecha (FTTH)</v>
      </c>
    </row>
    <row r="2" spans="1:14" x14ac:dyDescent="0.25">
      <c r="A2" s="10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25">
      <c r="A3" s="11" t="s">
        <v>32</v>
      </c>
    </row>
    <row r="4" spans="1:14" ht="22.05" customHeight="1" x14ac:dyDescent="0.25">
      <c r="A4" s="3" t="s">
        <v>33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B5" s="12" t="s">
        <v>41</v>
      </c>
      <c r="C5" s="13" t="s">
        <v>151</v>
      </c>
      <c r="E5" s="7" t="s">
        <v>42</v>
      </c>
    </row>
    <row r="6" spans="1:14" x14ac:dyDescent="0.25">
      <c r="B6" s="12" t="s">
        <v>24</v>
      </c>
      <c r="C6" s="13" t="s">
        <v>26</v>
      </c>
      <c r="E6" s="7" t="str">
        <f>IF(C6="","⚠ Elige una opción de la lista.","¿Es mejor que el indicador suba o que baje?")</f>
        <v>¿Es mejor que el indicador suba o que baje?</v>
      </c>
    </row>
    <row r="7" spans="1:14" x14ac:dyDescent="0.25">
      <c r="B7" s="12" t="s">
        <v>40</v>
      </c>
      <c r="C7" s="13" t="s">
        <v>126</v>
      </c>
      <c r="E7" s="7" t="s">
        <v>43</v>
      </c>
    </row>
    <row r="8" spans="1:14" x14ac:dyDescent="0.25">
      <c r="B8" s="12" t="s">
        <v>39</v>
      </c>
      <c r="C8" s="15">
        <v>82</v>
      </c>
      <c r="D8" s="7" t="str">
        <f t="shared" ref="D8:D10" si="0">IF($C$7="","",$C$7)</f>
        <v>%</v>
      </c>
      <c r="E8" s="7" t="str">
        <f>IF(AND(C7="%",N(C8)&gt;0,N(C8)&lt;1,N(C9)&lt;1),"⚠ ¿Escribiste el símbolo %? Si tu valor es 2,8 %, escribe solo 2,8.","Valor real de hoy. Escribe solo el número, sin el símbolo %.")</f>
        <v>Valor real de hoy. Escribe solo el número, sin el símbolo %.</v>
      </c>
    </row>
    <row r="9" spans="1:14" x14ac:dyDescent="0.25">
      <c r="B9" s="12" t="s">
        <v>38</v>
      </c>
      <c r="C9" s="15">
        <v>92</v>
      </c>
      <c r="D9" s="7" t="str">
        <f t="shared" si="0"/>
        <v>%</v>
      </c>
      <c r="E9" s="7" t="s">
        <v>44</v>
      </c>
    </row>
    <row r="10" spans="1:14" x14ac:dyDescent="0.25">
      <c r="B10" s="12" t="s">
        <v>37</v>
      </c>
      <c r="C10" s="15"/>
      <c r="D10" s="7" t="str">
        <f t="shared" si="0"/>
        <v>%</v>
      </c>
      <c r="E10" s="7" t="s">
        <v>45</v>
      </c>
    </row>
    <row r="11" spans="1:14" x14ac:dyDescent="0.25">
      <c r="B11" s="12" t="s">
        <v>36</v>
      </c>
      <c r="C11" s="18">
        <f>IF(C8="",0,ABS(C131-C8))</f>
        <v>18</v>
      </c>
      <c r="D11" s="7" t="str">
        <f t="shared" ref="D11:D12" si="1">$C$130</f>
        <v>pp</v>
      </c>
      <c r="E11" s="7" t="s">
        <v>46</v>
      </c>
    </row>
    <row r="12" spans="1:14" x14ac:dyDescent="0.25">
      <c r="B12" s="12" t="s">
        <v>35</v>
      </c>
      <c r="C12" s="18">
        <f>IF(OR(C6="",C8="",C9=""),0,MAX(0,IF(C6="Sube es mejor",C9-C8,C8-C9)))</f>
        <v>10</v>
      </c>
      <c r="D12" s="7" t="str">
        <f t="shared" si="1"/>
        <v>pp</v>
      </c>
      <c r="E12" s="7" t="s">
        <v>47</v>
      </c>
    </row>
    <row r="13" spans="1:14" x14ac:dyDescent="0.25">
      <c r="B13" s="12" t="s">
        <v>34</v>
      </c>
      <c r="C13" s="17">
        <v>9000</v>
      </c>
      <c r="E13" s="7" t="s">
        <v>48</v>
      </c>
    </row>
    <row r="15" spans="1:14" ht="22.05" customHeight="1" x14ac:dyDescent="0.25">
      <c r="A15" s="3" t="s">
        <v>49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9.95" customHeight="1" x14ac:dyDescent="0.25">
      <c r="B16" s="4" t="s">
        <v>50</v>
      </c>
      <c r="C16" s="4" t="s">
        <v>51</v>
      </c>
      <c r="D16" s="4" t="s">
        <v>52</v>
      </c>
      <c r="E16" s="4" t="s">
        <v>53</v>
      </c>
      <c r="F16" s="4" t="s">
        <v>54</v>
      </c>
      <c r="G16" s="4" t="s">
        <v>55</v>
      </c>
      <c r="H16" s="4" t="s">
        <v>56</v>
      </c>
    </row>
    <row r="17" spans="1:14" ht="42" customHeight="1" x14ac:dyDescent="0.25">
      <c r="B17" s="12" t="s">
        <v>62</v>
      </c>
      <c r="C17" s="19" t="s">
        <v>152</v>
      </c>
      <c r="D17" s="19" t="s">
        <v>154</v>
      </c>
      <c r="E17" s="19" t="s">
        <v>156</v>
      </c>
      <c r="F17" s="19" t="s">
        <v>158</v>
      </c>
      <c r="G17" s="19"/>
      <c r="H17" s="19"/>
    </row>
    <row r="18" spans="1:14" x14ac:dyDescent="0.25">
      <c r="B18" s="12" t="s">
        <v>61</v>
      </c>
      <c r="C18" s="17">
        <v>4050</v>
      </c>
      <c r="D18" s="17">
        <v>2700</v>
      </c>
      <c r="E18" s="17">
        <v>1800</v>
      </c>
      <c r="F18" s="17">
        <v>1350</v>
      </c>
      <c r="G18" s="17"/>
      <c r="H18" s="17"/>
    </row>
    <row r="19" spans="1:14" x14ac:dyDescent="0.25">
      <c r="B19" s="12" t="s">
        <v>60</v>
      </c>
      <c r="C19" s="21">
        <f t="shared" ref="C19:H19" si="2">IF(OR(N(C18)=0,N($C$13)=0),0,C18/$C$13)</f>
        <v>0.45</v>
      </c>
      <c r="D19" s="21">
        <f t="shared" si="2"/>
        <v>0.3</v>
      </c>
      <c r="E19" s="21">
        <f t="shared" si="2"/>
        <v>0.2</v>
      </c>
      <c r="F19" s="21">
        <f t="shared" si="2"/>
        <v>0.15</v>
      </c>
      <c r="G19" s="21">
        <f t="shared" si="2"/>
        <v>0</v>
      </c>
      <c r="H19" s="21">
        <f t="shared" si="2"/>
        <v>0</v>
      </c>
    </row>
    <row r="20" spans="1:14" x14ac:dyDescent="0.25">
      <c r="B20" s="12" t="s">
        <v>59</v>
      </c>
      <c r="C20" s="22">
        <f t="shared" ref="C20:H20" si="3">IF(SUM($C$19:$H$19)=0,0,C19/SUM($C$19:$H$19))</f>
        <v>0.40909090909090917</v>
      </c>
      <c r="D20" s="22">
        <f t="shared" si="3"/>
        <v>0.27272727272727276</v>
      </c>
      <c r="E20" s="22">
        <f t="shared" si="3"/>
        <v>0.18181818181818185</v>
      </c>
      <c r="F20" s="22">
        <f t="shared" si="3"/>
        <v>0.13636363636363638</v>
      </c>
      <c r="G20" s="22">
        <f t="shared" si="3"/>
        <v>0</v>
      </c>
      <c r="H20" s="22">
        <f t="shared" si="3"/>
        <v>0</v>
      </c>
    </row>
    <row r="21" spans="1:14" x14ac:dyDescent="0.25">
      <c r="B21" s="12" t="s">
        <v>58</v>
      </c>
      <c r="C21" s="23"/>
      <c r="D21" s="23"/>
      <c r="E21" s="23"/>
      <c r="F21" s="23"/>
      <c r="G21" s="23"/>
      <c r="H21" s="23"/>
    </row>
    <row r="22" spans="1:14" x14ac:dyDescent="0.25">
      <c r="B22" s="12" t="s">
        <v>57</v>
      </c>
      <c r="C22" s="24">
        <f t="shared" ref="C22:H22" si="4">IF(C21="",C20,C21)</f>
        <v>0.40909090909090917</v>
      </c>
      <c r="D22" s="24">
        <f t="shared" si="4"/>
        <v>0.27272727272727276</v>
      </c>
      <c r="E22" s="24">
        <f t="shared" si="4"/>
        <v>0.18181818181818185</v>
      </c>
      <c r="F22" s="24">
        <f t="shared" si="4"/>
        <v>0.13636363636363638</v>
      </c>
      <c r="G22" s="24">
        <f t="shared" si="4"/>
        <v>0</v>
      </c>
      <c r="H22" s="24">
        <f t="shared" si="4"/>
        <v>0</v>
      </c>
    </row>
    <row r="23" spans="1:14" ht="55.95" customHeight="1" x14ac:dyDescent="0.25">
      <c r="B23" s="12" t="s">
        <v>64</v>
      </c>
      <c r="C23" s="19" t="s">
        <v>153</v>
      </c>
      <c r="D23" s="19" t="s">
        <v>155</v>
      </c>
      <c r="E23" s="19" t="s">
        <v>157</v>
      </c>
      <c r="F23" s="19" t="s">
        <v>159</v>
      </c>
      <c r="G23" s="19"/>
      <c r="H23" s="19"/>
    </row>
    <row r="24" spans="1:14" x14ac:dyDescent="0.25">
      <c r="B24" s="12" t="s">
        <v>63</v>
      </c>
      <c r="C24" s="7" t="str">
        <f>IF(SUM(C22:H22)=0,"⚠ Aún no hay dolores con casos.",IF(ABS(SUM(C22:H22)-1)&lt;0.0005,"✔ La atribución suma 100 %.","⚠ La atribución suma "&amp;FIXED(SUM(C22:H22)*100,1)&amp;" %; debe sumar 100 %. Revisa la fila 21."))</f>
        <v>✔ La atribución suma 100 %.</v>
      </c>
    </row>
    <row r="25" spans="1:14" x14ac:dyDescent="0.25">
      <c r="C25" s="11" t="str">
        <f>"La suma de prevalencias es "&amp;FIXED(SUM(C19:H19)*100,0)&amp;" %. Puede pasar de 100 % porque un caso puede tener varios dolores. Es normal."</f>
        <v>La suma de prevalencias es 110 %. Puede pasar de 100 % porque un caso puede tener varios dolores. Es normal.</v>
      </c>
    </row>
    <row r="27" spans="1:14" ht="22.05" customHeight="1" x14ac:dyDescent="0.25">
      <c r="A27" s="3" t="s">
        <v>65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43.95" customHeight="1" x14ac:dyDescent="0.25">
      <c r="A28" s="4" t="s">
        <v>66</v>
      </c>
      <c r="B28" s="4" t="s">
        <v>67</v>
      </c>
      <c r="C28" s="4" t="str">
        <f t="shared" ref="C28:H28" si="5">IF(C17="","Dolor "&amp;(COLUMN()-2),C17)</f>
        <v>Falta de técnicos en la zona</v>
      </c>
      <c r="D28" s="4" t="str">
        <f t="shared" si="5"/>
        <v>Cliente ausente o dirección errónea</v>
      </c>
      <c r="E28" s="4" t="str">
        <f t="shared" si="5"/>
        <v>Falta de equipos (ONT / módem) en almacén</v>
      </c>
      <c r="F28" s="4" t="str">
        <f t="shared" si="5"/>
        <v>Factibilidad mal validada en la venta</v>
      </c>
      <c r="G28" s="4" t="str">
        <f t="shared" si="5"/>
        <v>Dolor 5</v>
      </c>
      <c r="H28" s="4" t="str">
        <f t="shared" si="5"/>
        <v>Dolor 6</v>
      </c>
      <c r="I28" s="4" t="s">
        <v>68</v>
      </c>
      <c r="J28" s="4" t="s">
        <v>25</v>
      </c>
      <c r="K28" s="4" t="s">
        <v>69</v>
      </c>
      <c r="L28" s="4" t="s">
        <v>70</v>
      </c>
      <c r="M28" s="4" t="s">
        <v>71</v>
      </c>
      <c r="N28" s="4" t="s">
        <v>63</v>
      </c>
    </row>
    <row r="29" spans="1:14" ht="40.049999999999997" customHeight="1" x14ac:dyDescent="0.25">
      <c r="A29" s="25" t="s">
        <v>72</v>
      </c>
      <c r="B29" s="19" t="s">
        <v>160</v>
      </c>
      <c r="C29" s="27"/>
      <c r="D29" s="27">
        <v>0.7</v>
      </c>
      <c r="E29" s="27"/>
      <c r="F29" s="27"/>
      <c r="G29" s="27"/>
      <c r="H29" s="27"/>
      <c r="I29" s="27">
        <v>1</v>
      </c>
      <c r="J29" s="28" t="s">
        <v>28</v>
      </c>
      <c r="K29" s="28" t="s">
        <v>147</v>
      </c>
      <c r="L29" s="29">
        <v>46387</v>
      </c>
      <c r="M29" s="19" t="s">
        <v>161</v>
      </c>
      <c r="N29" s="14" t="str">
        <f t="shared" ref="N29:N36" si="6">IF(B29="","",IF(I29="","⚠ Falta % de ejecución",IF(M29="","⚠ Sin respaldo","✔ OK")))</f>
        <v>✔ OK</v>
      </c>
    </row>
    <row r="30" spans="1:14" ht="40.049999999999997" customHeight="1" x14ac:dyDescent="0.25">
      <c r="A30" s="25" t="s">
        <v>73</v>
      </c>
      <c r="B30" s="19" t="s">
        <v>162</v>
      </c>
      <c r="C30" s="27">
        <v>0.6</v>
      </c>
      <c r="D30" s="27"/>
      <c r="E30" s="27"/>
      <c r="F30" s="27"/>
      <c r="G30" s="27"/>
      <c r="H30" s="27"/>
      <c r="I30" s="27">
        <v>0.9</v>
      </c>
      <c r="J30" s="28" t="s">
        <v>29</v>
      </c>
      <c r="K30" s="28" t="s">
        <v>163</v>
      </c>
      <c r="L30" s="29">
        <v>46446</v>
      </c>
      <c r="M30" s="19" t="s">
        <v>164</v>
      </c>
      <c r="N30" s="14" t="str">
        <f t="shared" si="6"/>
        <v>✔ OK</v>
      </c>
    </row>
    <row r="31" spans="1:14" ht="40.049999999999997" customHeight="1" x14ac:dyDescent="0.25">
      <c r="A31" s="25" t="s">
        <v>74</v>
      </c>
      <c r="B31" s="19" t="s">
        <v>165</v>
      </c>
      <c r="C31" s="27">
        <v>0.1</v>
      </c>
      <c r="D31" s="27"/>
      <c r="E31" s="27">
        <v>0.8</v>
      </c>
      <c r="F31" s="27"/>
      <c r="G31" s="27"/>
      <c r="H31" s="27"/>
      <c r="I31" s="27">
        <v>1</v>
      </c>
      <c r="J31" s="28" t="s">
        <v>28</v>
      </c>
      <c r="K31" s="28" t="s">
        <v>166</v>
      </c>
      <c r="L31" s="29">
        <v>46402</v>
      </c>
      <c r="M31" s="19" t="s">
        <v>167</v>
      </c>
      <c r="N31" s="14" t="str">
        <f t="shared" si="6"/>
        <v>✔ OK</v>
      </c>
    </row>
    <row r="32" spans="1:14" ht="40.049999999999997" customHeight="1" x14ac:dyDescent="0.25">
      <c r="A32" s="25" t="s">
        <v>75</v>
      </c>
      <c r="B32" s="19" t="s">
        <v>168</v>
      </c>
      <c r="C32" s="27"/>
      <c r="D32" s="27">
        <v>0.1</v>
      </c>
      <c r="E32" s="27"/>
      <c r="F32" s="27">
        <v>0.7</v>
      </c>
      <c r="G32" s="27"/>
      <c r="H32" s="27"/>
      <c r="I32" s="27">
        <v>1</v>
      </c>
      <c r="J32" s="28" t="s">
        <v>28</v>
      </c>
      <c r="K32" s="28" t="s">
        <v>169</v>
      </c>
      <c r="L32" s="29">
        <v>46477</v>
      </c>
      <c r="M32" s="19" t="s">
        <v>170</v>
      </c>
      <c r="N32" s="14" t="str">
        <f t="shared" si="6"/>
        <v>✔ OK</v>
      </c>
    </row>
    <row r="33" spans="1:14" ht="40.049999999999997" customHeight="1" x14ac:dyDescent="0.25">
      <c r="A33" s="25" t="s">
        <v>76</v>
      </c>
      <c r="B33" s="19"/>
      <c r="C33" s="27"/>
      <c r="D33" s="27"/>
      <c r="E33" s="27"/>
      <c r="F33" s="27"/>
      <c r="G33" s="27"/>
      <c r="H33" s="27"/>
      <c r="I33" s="27"/>
      <c r="J33" s="28"/>
      <c r="K33" s="28"/>
      <c r="L33" s="29"/>
      <c r="M33" s="19"/>
      <c r="N33" s="14" t="str">
        <f t="shared" si="6"/>
        <v/>
      </c>
    </row>
    <row r="34" spans="1:14" ht="40.049999999999997" customHeight="1" x14ac:dyDescent="0.25">
      <c r="A34" s="25" t="s">
        <v>77</v>
      </c>
      <c r="B34" s="19"/>
      <c r="C34" s="27"/>
      <c r="D34" s="27"/>
      <c r="E34" s="27"/>
      <c r="F34" s="27"/>
      <c r="G34" s="27"/>
      <c r="H34" s="27"/>
      <c r="I34" s="27"/>
      <c r="J34" s="28"/>
      <c r="K34" s="28"/>
      <c r="L34" s="29"/>
      <c r="M34" s="19"/>
      <c r="N34" s="14" t="str">
        <f t="shared" si="6"/>
        <v/>
      </c>
    </row>
    <row r="35" spans="1:14" ht="40.049999999999997" customHeight="1" x14ac:dyDescent="0.25">
      <c r="A35" s="25" t="s">
        <v>78</v>
      </c>
      <c r="B35" s="19"/>
      <c r="C35" s="27"/>
      <c r="D35" s="27"/>
      <c r="E35" s="27"/>
      <c r="F35" s="27"/>
      <c r="G35" s="27"/>
      <c r="H35" s="27"/>
      <c r="I35" s="27"/>
      <c r="J35" s="28"/>
      <c r="K35" s="28"/>
      <c r="L35" s="29"/>
      <c r="M35" s="19"/>
      <c r="N35" s="14" t="str">
        <f t="shared" si="6"/>
        <v/>
      </c>
    </row>
    <row r="36" spans="1:14" ht="40.049999999999997" customHeight="1" x14ac:dyDescent="0.25">
      <c r="A36" s="25" t="s">
        <v>79</v>
      </c>
      <c r="B36" s="19"/>
      <c r="C36" s="27"/>
      <c r="D36" s="27"/>
      <c r="E36" s="27"/>
      <c r="F36" s="27"/>
      <c r="G36" s="27"/>
      <c r="H36" s="27"/>
      <c r="I36" s="27"/>
      <c r="J36" s="28"/>
      <c r="K36" s="28"/>
      <c r="L36" s="29"/>
      <c r="M36" s="19"/>
      <c r="N36" s="14" t="str">
        <f t="shared" si="6"/>
        <v/>
      </c>
    </row>
    <row r="37" spans="1:14" x14ac:dyDescent="0.25">
      <c r="B37" s="12" t="s">
        <v>63</v>
      </c>
      <c r="C37" s="7" t="str">
        <f>IF(COUNTIF(B29:B36,"?*")=0,"⚠ Aún no hay iniciativas.",IF(COUNTIF(N29:N36,"⚠*")&gt;0,"⚠ Revisa la columna Revisión (N): faltan datos.","✔ Iniciativas completas."))</f>
        <v>✔ Iniciativas completas.</v>
      </c>
    </row>
    <row r="39" spans="1:14" ht="22.05" customHeight="1" x14ac:dyDescent="0.25">
      <c r="A39" s="3" t="s">
        <v>80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31.95" customHeight="1" x14ac:dyDescent="0.25">
      <c r="B40" s="4" t="s">
        <v>81</v>
      </c>
      <c r="C40" s="4" t="s">
        <v>82</v>
      </c>
      <c r="D40" s="4" t="s">
        <v>83</v>
      </c>
    </row>
    <row r="41" spans="1:14" x14ac:dyDescent="0.25">
      <c r="B41" s="12" t="s">
        <v>86</v>
      </c>
      <c r="C41" s="31">
        <f>SUM(C53:H53)</f>
        <v>12.632727272727275</v>
      </c>
      <c r="D41" s="31">
        <f>SUM(C54:H54)</f>
        <v>12.235090909090912</v>
      </c>
      <c r="E41" s="7" t="str">
        <f>$C$130</f>
        <v>pp</v>
      </c>
    </row>
    <row r="42" spans="1:14" ht="17.399999999999999" x14ac:dyDescent="0.25">
      <c r="B42" s="12" t="s">
        <v>85</v>
      </c>
      <c r="C42" s="32">
        <f t="shared" ref="C42:D42" si="7">IF($C$12=0,0,C41/$C$12)</f>
        <v>1.2632727272727275</v>
      </c>
      <c r="D42" s="32">
        <f t="shared" si="7"/>
        <v>1.2235090909090913</v>
      </c>
    </row>
    <row r="43" spans="1:14" x14ac:dyDescent="0.25">
      <c r="B43" s="12" t="s">
        <v>84</v>
      </c>
      <c r="C43" s="33" t="str">
        <f>IF($C$8="","SIN DATOS",IF($C$12=0,"META CUMPLIDA",LOOKUP(C42,Semaforo_Desde,Semaforo_Color)))</f>
        <v>VERDE</v>
      </c>
      <c r="D43" s="33" t="str">
        <f>IF($C$8="","SIN DATOS",IF($C$12=0,"META CUMPLIDA",LOOKUP(D42,Semaforo_Desde,Semaforo_Color)))</f>
        <v>VERDE</v>
      </c>
    </row>
    <row r="44" spans="1:14" x14ac:dyDescent="0.25">
      <c r="B44" s="12" t="s">
        <v>90</v>
      </c>
      <c r="C44" s="31">
        <f t="shared" ref="C44:D44" si="8">IF($C$8="","",IF($C$6="Sube es mejor",$C$8+C41,$C$8-C41))</f>
        <v>94.63272727272728</v>
      </c>
      <c r="D44" s="31">
        <f t="shared" si="8"/>
        <v>94.235090909090914</v>
      </c>
      <c r="E44" s="7" t="str">
        <f>IF($C$7="","",$C$7)</f>
        <v>%</v>
      </c>
    </row>
    <row r="45" spans="1:14" x14ac:dyDescent="0.25">
      <c r="B45" s="12" t="s">
        <v>89</v>
      </c>
      <c r="C45" s="31">
        <f t="shared" ref="C45:D45" si="9">MAX(0,$C$12-C41)</f>
        <v>0</v>
      </c>
      <c r="D45" s="31">
        <f t="shared" si="9"/>
        <v>0</v>
      </c>
      <c r="E45" s="7" t="str">
        <f>$C$130</f>
        <v>pp</v>
      </c>
    </row>
    <row r="46" spans="1:14" x14ac:dyDescent="0.25">
      <c r="B46" s="12" t="s">
        <v>88</v>
      </c>
      <c r="C46" s="7" t="str">
        <f>IF($C$132=0,"",$C$133&amp;" · explica el "&amp;FIXED(INDEX(C22:H22,$C$132)*100,0)&amp;" % del problema · resuelto (realista): "&amp;FIXED(INDEX(C52:H52,$C$132)*100,0)&amp;" %")</f>
        <v>Falta de técnicos en la zona · explica el 41 % del problema · resuelto (realista): 59 %</v>
      </c>
    </row>
    <row r="47" spans="1:14" x14ac:dyDescent="0.25">
      <c r="B47" s="12" t="s">
        <v>87</v>
      </c>
      <c r="C47" s="12" t="str">
        <f>IF($C$8="","Completa el Paso 1 para ver el resultado.",IF($C$12=0,"La meta ya se cumple hoy: no hay brecha que cerrar.","Si todas las iniciativas se cumplen al 100 %, cubres el "&amp;FIXED(C42*100,0)&amp;" % de la brecha. Con la ejecución realista cubres el "&amp;FIXED(D42*100,0)&amp;" %."))</f>
        <v>Si todas las iniciativas se cumplen al 100 %, cubres el 126 % de la brecha. Con la ejecución realista cubres el 122 %.</v>
      </c>
    </row>
    <row r="49" spans="1:8" ht="42" customHeight="1" x14ac:dyDescent="0.25">
      <c r="B49" s="4" t="s">
        <v>91</v>
      </c>
      <c r="C49" s="4" t="str">
        <f t="shared" ref="C49:H49" si="10">IF(C17="","Dolor "&amp;(COLUMN()-2),C17)</f>
        <v>Falta de técnicos en la zona</v>
      </c>
      <c r="D49" s="4" t="str">
        <f t="shared" si="10"/>
        <v>Cliente ausente o dirección errónea</v>
      </c>
      <c r="E49" s="4" t="str">
        <f t="shared" si="10"/>
        <v>Falta de equipos (ONT / módem) en almacén</v>
      </c>
      <c r="F49" s="4" t="str">
        <f t="shared" si="10"/>
        <v>Factibilidad mal validada en la venta</v>
      </c>
      <c r="G49" s="4" t="str">
        <f t="shared" si="10"/>
        <v>Dolor 5</v>
      </c>
      <c r="H49" s="4" t="str">
        <f t="shared" si="10"/>
        <v>Dolor 6</v>
      </c>
    </row>
    <row r="50" spans="1:8" x14ac:dyDescent="0.25">
      <c r="B50" s="12" t="s">
        <v>57</v>
      </c>
      <c r="C50" s="34">
        <f t="shared" ref="C50:H50" si="11">C22</f>
        <v>0.40909090909090917</v>
      </c>
      <c r="D50" s="34">
        <f t="shared" si="11"/>
        <v>0.27272727272727276</v>
      </c>
      <c r="E50" s="34">
        <f t="shared" si="11"/>
        <v>0.18181818181818185</v>
      </c>
      <c r="F50" s="34">
        <f t="shared" si="11"/>
        <v>0.13636363636363638</v>
      </c>
      <c r="G50" s="34">
        <f t="shared" si="11"/>
        <v>0</v>
      </c>
      <c r="H50" s="34">
        <f t="shared" si="11"/>
        <v>0</v>
      </c>
    </row>
    <row r="51" spans="1:8" x14ac:dyDescent="0.25">
      <c r="B51" s="12" t="s">
        <v>95</v>
      </c>
      <c r="C51" s="34">
        <f t="shared" ref="C51:H51" si="12">C89</f>
        <v>0.6399999999999999</v>
      </c>
      <c r="D51" s="34">
        <f t="shared" si="12"/>
        <v>0.73</v>
      </c>
      <c r="E51" s="34">
        <f t="shared" si="12"/>
        <v>0.8</v>
      </c>
      <c r="F51" s="34">
        <f t="shared" si="12"/>
        <v>0.7</v>
      </c>
      <c r="G51" s="34">
        <f t="shared" si="12"/>
        <v>0</v>
      </c>
      <c r="H51" s="34">
        <f t="shared" si="12"/>
        <v>0</v>
      </c>
    </row>
    <row r="52" spans="1:8" x14ac:dyDescent="0.25">
      <c r="B52" s="12" t="s">
        <v>94</v>
      </c>
      <c r="C52" s="34">
        <f t="shared" ref="C52:H52" si="13">C101</f>
        <v>0.58600000000000008</v>
      </c>
      <c r="D52" s="34">
        <f t="shared" si="13"/>
        <v>0.73</v>
      </c>
      <c r="E52" s="34">
        <f t="shared" si="13"/>
        <v>0.8</v>
      </c>
      <c r="F52" s="34">
        <f t="shared" si="13"/>
        <v>0.7</v>
      </c>
      <c r="G52" s="34">
        <f t="shared" si="13"/>
        <v>0</v>
      </c>
      <c r="H52" s="34">
        <f t="shared" si="13"/>
        <v>0</v>
      </c>
    </row>
    <row r="53" spans="1:8" x14ac:dyDescent="0.25">
      <c r="B53" s="12" t="s">
        <v>93</v>
      </c>
      <c r="C53" s="31">
        <f t="shared" ref="C53:H53" si="14">$C$11*C50*C51</f>
        <v>4.7127272727272729</v>
      </c>
      <c r="D53" s="31">
        <f t="shared" si="14"/>
        <v>3.5836363636363644</v>
      </c>
      <c r="E53" s="31">
        <f t="shared" si="14"/>
        <v>2.6181818181818191</v>
      </c>
      <c r="F53" s="31">
        <f t="shared" si="14"/>
        <v>1.7181818181818185</v>
      </c>
      <c r="G53" s="31">
        <f t="shared" si="14"/>
        <v>0</v>
      </c>
      <c r="H53" s="31">
        <f t="shared" si="14"/>
        <v>0</v>
      </c>
    </row>
    <row r="54" spans="1:8" x14ac:dyDescent="0.25">
      <c r="B54" s="12" t="s">
        <v>92</v>
      </c>
      <c r="C54" s="31">
        <f t="shared" ref="C54:H54" si="15">$C$11*C50*C52</f>
        <v>4.3150909090909106</v>
      </c>
      <c r="D54" s="31">
        <f t="shared" si="15"/>
        <v>3.5836363636363644</v>
      </c>
      <c r="E54" s="31">
        <f t="shared" si="15"/>
        <v>2.6181818181818191</v>
      </c>
      <c r="F54" s="31">
        <f t="shared" si="15"/>
        <v>1.7181818181818185</v>
      </c>
      <c r="G54" s="31">
        <f t="shared" si="15"/>
        <v>0</v>
      </c>
      <c r="H54" s="31">
        <f t="shared" si="15"/>
        <v>0</v>
      </c>
    </row>
    <row r="55" spans="1:8" x14ac:dyDescent="0.25">
      <c r="B55" s="12" t="s">
        <v>96</v>
      </c>
      <c r="C55" s="35" t="str">
        <f>IF(C17="","",IF(AND(C50&gt;Cobertura_Atrib_Min,C52&lt;Cobertura_Resuelto_Min),"⚠ SIN COBERTURA",IF(C52&gt;=Cobertura_Resuelto_Min,"✔ Cubierto","○ Peso bajo")))</f>
        <v>✔ Cubierto</v>
      </c>
      <c r="D55" s="35" t="str">
        <f>IF(D17="","",IF(AND(D50&gt;Cobertura_Atrib_Min,D52&lt;Cobertura_Resuelto_Min),"⚠ SIN COBERTURA",IF(D52&gt;=Cobertura_Resuelto_Min,"✔ Cubierto","○ Peso bajo")))</f>
        <v>✔ Cubierto</v>
      </c>
      <c r="E55" s="35" t="str">
        <f>IF(E17="","",IF(AND(E50&gt;Cobertura_Atrib_Min,E52&lt;Cobertura_Resuelto_Min),"⚠ SIN COBERTURA",IF(E52&gt;=Cobertura_Resuelto_Min,"✔ Cubierto","○ Peso bajo")))</f>
        <v>✔ Cubierto</v>
      </c>
      <c r="F55" s="35" t="str">
        <f>IF(F17="","",IF(AND(F50&gt;Cobertura_Atrib_Min,F52&lt;Cobertura_Resuelto_Min),"⚠ SIN COBERTURA",IF(F52&gt;=Cobertura_Resuelto_Min,"✔ Cubierto","○ Peso bajo")))</f>
        <v>✔ Cubierto</v>
      </c>
      <c r="G55" s="35" t="str">
        <f>IF(G17="","",IF(AND(G50&gt;Cobertura_Atrib_Min,G52&lt;Cobertura_Resuelto_Min),"⚠ SIN COBERTURA",IF(G52&gt;=Cobertura_Resuelto_Min,"✔ Cubierto","○ Peso bajo")))</f>
        <v/>
      </c>
      <c r="H55" s="35" t="str">
        <f>IF(H17="","",IF(AND(H50&gt;Cobertura_Atrib_Min,H52&lt;Cobertura_Resuelto_Min),"⚠ SIN COBERTURA",IF(H52&gt;=Cobertura_Resuelto_Min,"✔ Cubierto","○ Peso bajo")))</f>
        <v/>
      </c>
    </row>
    <row r="57" spans="1:8" ht="31.95" customHeight="1" x14ac:dyDescent="0.25">
      <c r="A57" s="4" t="s">
        <v>66</v>
      </c>
      <c r="B57" s="4" t="s">
        <v>97</v>
      </c>
      <c r="C57" s="4" t="s">
        <v>98</v>
      </c>
      <c r="D57" s="4" t="s">
        <v>99</v>
      </c>
      <c r="E57" s="4" t="s">
        <v>100</v>
      </c>
      <c r="F57" s="4" t="s">
        <v>101</v>
      </c>
      <c r="G57" s="4" t="s">
        <v>87</v>
      </c>
    </row>
    <row r="58" spans="1:8" x14ac:dyDescent="0.25">
      <c r="A58" s="25" t="s">
        <v>72</v>
      </c>
      <c r="B58" s="14" t="str">
        <f t="shared" ref="B58:B65" si="16">IF(B29="","",B29)</f>
        <v>Agendamiento con confirmación por WhatsApp</v>
      </c>
      <c r="C58" s="31">
        <f t="shared" ref="C58:C65" si="17">IF($B29="","",K104)</f>
        <v>3.0927272727272754</v>
      </c>
      <c r="D58" s="34">
        <f t="shared" ref="D58:D65" si="18">IF($B29="","",L104)</f>
        <v>0.30927272727272753</v>
      </c>
      <c r="E58" s="34">
        <f t="shared" ref="E58:E65" si="19">IF($B29="","",J104)</f>
        <v>0.91423636363636374</v>
      </c>
      <c r="F58" s="35" t="str">
        <f>IF($B29="","",IF(OR(N($I29)=0,L104&lt;Umbral_Reemplazar),"REEMPLAZAR",IF(OR($J29="Retrasada",$J29="En riesgo"),"EN RIESGO","APORTA")))</f>
        <v>APORTA</v>
      </c>
      <c r="G58" s="7" t="str">
        <f t="shared" ref="G58:G65" si="20">IF($B29="","","Aporta "&amp;FIXED(K104,2)&amp;" "&amp;$C$130&amp;" ("&amp;FIXED(L104*100,0)&amp;" % de la brecha). Si falla, la suficiencia baja de "&amp;FIXED($D$42*100,0)&amp;" % a "&amp;FIXED(J104*100,0)&amp;" %.")</f>
        <v>Aporta 3,09 pp (31 % de la brecha). Si falla, la suficiencia baja de 122 % a 91 %.</v>
      </c>
    </row>
    <row r="59" spans="1:8" x14ac:dyDescent="0.25">
      <c r="A59" s="25" t="s">
        <v>73</v>
      </c>
      <c r="B59" s="14" t="str">
        <f t="shared" si="16"/>
        <v>Contratación de técnicos tercerizados</v>
      </c>
      <c r="C59" s="31">
        <f t="shared" si="17"/>
        <v>3.5787272727272761</v>
      </c>
      <c r="D59" s="34">
        <f t="shared" si="18"/>
        <v>0.35787272727272762</v>
      </c>
      <c r="E59" s="34">
        <f t="shared" si="19"/>
        <v>0.86563636363636365</v>
      </c>
      <c r="F59" s="35" t="str">
        <f>IF($B30="","",IF(OR(N($I30)=0,L105&lt;Umbral_Reemplazar),"REEMPLAZAR",IF(OR($J30="Retrasada",$J30="En riesgo"),"EN RIESGO","APORTA")))</f>
        <v>EN RIESGO</v>
      </c>
      <c r="G59" s="7" t="str">
        <f t="shared" si="20"/>
        <v>Aporta 3,58 pp (36 % de la brecha). Si falla, la suficiencia baja de 122 % a 87 %.</v>
      </c>
    </row>
    <row r="60" spans="1:8" x14ac:dyDescent="0.25">
      <c r="A60" s="25" t="s">
        <v>74</v>
      </c>
      <c r="B60" s="14" t="str">
        <f t="shared" si="16"/>
        <v>Reposición automática de inventario</v>
      </c>
      <c r="C60" s="31">
        <f t="shared" si="17"/>
        <v>2.9569090909090914</v>
      </c>
      <c r="D60" s="34">
        <f t="shared" si="18"/>
        <v>0.29569090909090912</v>
      </c>
      <c r="E60" s="34">
        <f t="shared" si="19"/>
        <v>0.9278181818181821</v>
      </c>
      <c r="F60" s="35" t="str">
        <f>IF($B31="","",IF(OR(N($I31)=0,L106&lt;Umbral_Reemplazar),"REEMPLAZAR",IF(OR($J31="Retrasada",$J31="En riesgo"),"EN RIESGO","APORTA")))</f>
        <v>APORTA</v>
      </c>
      <c r="G60" s="7" t="str">
        <f t="shared" si="20"/>
        <v>Aporta 2,96 pp (30 % de la brecha). Si falla, la suficiencia baja de 122 % a 93 %.</v>
      </c>
    </row>
    <row r="61" spans="1:8" x14ac:dyDescent="0.25">
      <c r="A61" s="25" t="s">
        <v>75</v>
      </c>
      <c r="B61" s="14" t="str">
        <f t="shared" si="16"/>
        <v>Validación de factibilidad en el punto de venta</v>
      </c>
      <c r="C61" s="31">
        <f t="shared" si="17"/>
        <v>1.865454545454547</v>
      </c>
      <c r="D61" s="34">
        <f t="shared" si="18"/>
        <v>0.18654545454545471</v>
      </c>
      <c r="E61" s="34">
        <f t="shared" si="19"/>
        <v>1.0369636363636365</v>
      </c>
      <c r="F61" s="35" t="str">
        <f>IF($B32="","",IF(OR(N($I32)=0,L107&lt;Umbral_Reemplazar),"REEMPLAZAR",IF(OR($J32="Retrasada",$J32="En riesgo"),"EN RIESGO","APORTA")))</f>
        <v>APORTA</v>
      </c>
      <c r="G61" s="7" t="str">
        <f t="shared" si="20"/>
        <v>Aporta 1,87 pp (19 % de la brecha). Si falla, la suficiencia baja de 122 % a 104 %.</v>
      </c>
    </row>
    <row r="62" spans="1:8" x14ac:dyDescent="0.25">
      <c r="A62" s="25" t="s">
        <v>76</v>
      </c>
      <c r="B62" s="14" t="str">
        <f t="shared" si="16"/>
        <v/>
      </c>
      <c r="C62" s="31" t="str">
        <f t="shared" si="17"/>
        <v/>
      </c>
      <c r="D62" s="34" t="str">
        <f t="shared" si="18"/>
        <v/>
      </c>
      <c r="E62" s="34" t="str">
        <f t="shared" si="19"/>
        <v/>
      </c>
      <c r="F62" s="35" t="str">
        <f>IF($B33="","",IF(OR(N($I33)=0,L108&lt;Umbral_Reemplazar),"REEMPLAZAR",IF(OR($J33="Retrasada",$J33="En riesgo"),"EN RIESGO","APORTA")))</f>
        <v/>
      </c>
      <c r="G62" s="7" t="str">
        <f t="shared" si="20"/>
        <v/>
      </c>
    </row>
    <row r="63" spans="1:8" x14ac:dyDescent="0.25">
      <c r="A63" s="25" t="s">
        <v>77</v>
      </c>
      <c r="B63" s="14" t="str">
        <f t="shared" si="16"/>
        <v/>
      </c>
      <c r="C63" s="31" t="str">
        <f t="shared" si="17"/>
        <v/>
      </c>
      <c r="D63" s="34" t="str">
        <f t="shared" si="18"/>
        <v/>
      </c>
      <c r="E63" s="34" t="str">
        <f t="shared" si="19"/>
        <v/>
      </c>
      <c r="F63" s="35" t="str">
        <f>IF($B34="","",IF(OR(N($I34)=0,L109&lt;Umbral_Reemplazar),"REEMPLAZAR",IF(OR($J34="Retrasada",$J34="En riesgo"),"EN RIESGO","APORTA")))</f>
        <v/>
      </c>
      <c r="G63" s="7" t="str">
        <f t="shared" si="20"/>
        <v/>
      </c>
    </row>
    <row r="64" spans="1:8" x14ac:dyDescent="0.25">
      <c r="A64" s="25" t="s">
        <v>78</v>
      </c>
      <c r="B64" s="14" t="str">
        <f t="shared" si="16"/>
        <v/>
      </c>
      <c r="C64" s="31" t="str">
        <f t="shared" si="17"/>
        <v/>
      </c>
      <c r="D64" s="34" t="str">
        <f t="shared" si="18"/>
        <v/>
      </c>
      <c r="E64" s="34" t="str">
        <f t="shared" si="19"/>
        <v/>
      </c>
      <c r="F64" s="35" t="str">
        <f>IF($B35="","",IF(OR(N($I35)=0,L110&lt;Umbral_Reemplazar),"REEMPLAZAR",IF(OR($J35="Retrasada",$J35="En riesgo"),"EN RIESGO","APORTA")))</f>
        <v/>
      </c>
      <c r="G64" s="7" t="str">
        <f t="shared" si="20"/>
        <v/>
      </c>
    </row>
    <row r="65" spans="1:14" x14ac:dyDescent="0.25">
      <c r="A65" s="25" t="s">
        <v>79</v>
      </c>
      <c r="B65" s="14" t="str">
        <f t="shared" si="16"/>
        <v/>
      </c>
      <c r="C65" s="31" t="str">
        <f t="shared" si="17"/>
        <v/>
      </c>
      <c r="D65" s="34" t="str">
        <f t="shared" si="18"/>
        <v/>
      </c>
      <c r="E65" s="34" t="str">
        <f t="shared" si="19"/>
        <v/>
      </c>
      <c r="F65" s="35" t="str">
        <f>IF($B36="","",IF(OR(N($I36)=0,L111&lt;Umbral_Reemplazar),"REEMPLAZAR",IF(OR($J36="Retrasada",$J36="En riesgo"),"EN RIESGO","APORTA")))</f>
        <v/>
      </c>
      <c r="G65" s="7" t="str">
        <f t="shared" si="20"/>
        <v/>
      </c>
    </row>
    <row r="66" spans="1:14" x14ac:dyDescent="0.25">
      <c r="A66" s="36"/>
      <c r="C66" s="36"/>
      <c r="D66" s="36"/>
      <c r="E66" s="36"/>
      <c r="F66" s="36"/>
    </row>
    <row r="67" spans="1:14" ht="31.95" customHeight="1" x14ac:dyDescent="0.25">
      <c r="A67" s="37" t="s">
        <v>102</v>
      </c>
      <c r="B67" s="4" t="s">
        <v>103</v>
      </c>
      <c r="C67" s="37" t="s">
        <v>98</v>
      </c>
      <c r="D67" s="37" t="s">
        <v>99</v>
      </c>
      <c r="E67" s="37" t="s">
        <v>100</v>
      </c>
      <c r="F67" s="37" t="s">
        <v>101</v>
      </c>
      <c r="G67" s="4" t="s">
        <v>87</v>
      </c>
    </row>
    <row r="68" spans="1:14" x14ac:dyDescent="0.25">
      <c r="A68" s="25">
        <v>1</v>
      </c>
      <c r="B68" s="14" t="str">
        <f t="shared" ref="B68:G75" si="21">INDEX(B$58:B$65,$C114)</f>
        <v>Contratación de técnicos tercerizados</v>
      </c>
      <c r="C68" s="31">
        <f t="shared" si="21"/>
        <v>3.5787272727272761</v>
      </c>
      <c r="D68" s="34">
        <f t="shared" si="21"/>
        <v>0.35787272727272762</v>
      </c>
      <c r="E68" s="34">
        <f t="shared" si="21"/>
        <v>0.86563636363636365</v>
      </c>
      <c r="F68" s="35" t="str">
        <f t="shared" si="21"/>
        <v>EN RIESGO</v>
      </c>
      <c r="G68" s="7" t="str">
        <f t="shared" si="21"/>
        <v>Aporta 3,58 pp (36 % de la brecha). Si falla, la suficiencia baja de 122 % a 87 %.</v>
      </c>
    </row>
    <row r="69" spans="1:14" x14ac:dyDescent="0.25">
      <c r="A69" s="25">
        <v>2</v>
      </c>
      <c r="B69" s="14" t="str">
        <f t="shared" si="21"/>
        <v>Agendamiento con confirmación por WhatsApp</v>
      </c>
      <c r="C69" s="31">
        <f t="shared" si="21"/>
        <v>3.0927272727272754</v>
      </c>
      <c r="D69" s="34">
        <f t="shared" si="21"/>
        <v>0.30927272727272753</v>
      </c>
      <c r="E69" s="34">
        <f t="shared" si="21"/>
        <v>0.91423636363636374</v>
      </c>
      <c r="F69" s="35" t="str">
        <f t="shared" si="21"/>
        <v>APORTA</v>
      </c>
      <c r="G69" s="7" t="str">
        <f t="shared" si="21"/>
        <v>Aporta 3,09 pp (31 % de la brecha). Si falla, la suficiencia baja de 122 % a 91 %.</v>
      </c>
    </row>
    <row r="70" spans="1:14" x14ac:dyDescent="0.25">
      <c r="A70" s="25">
        <v>3</v>
      </c>
      <c r="B70" s="14" t="str">
        <f t="shared" si="21"/>
        <v>Reposición automática de inventario</v>
      </c>
      <c r="C70" s="31">
        <f t="shared" si="21"/>
        <v>2.9569090909090914</v>
      </c>
      <c r="D70" s="34">
        <f t="shared" si="21"/>
        <v>0.29569090909090912</v>
      </c>
      <c r="E70" s="34">
        <f t="shared" si="21"/>
        <v>0.9278181818181821</v>
      </c>
      <c r="F70" s="35" t="str">
        <f t="shared" si="21"/>
        <v>APORTA</v>
      </c>
      <c r="G70" s="7" t="str">
        <f t="shared" si="21"/>
        <v>Aporta 2,96 pp (30 % de la brecha). Si falla, la suficiencia baja de 122 % a 93 %.</v>
      </c>
    </row>
    <row r="71" spans="1:14" x14ac:dyDescent="0.25">
      <c r="A71" s="25">
        <v>4</v>
      </c>
      <c r="B71" s="14" t="str">
        <f t="shared" si="21"/>
        <v>Validación de factibilidad en el punto de venta</v>
      </c>
      <c r="C71" s="31">
        <f t="shared" si="21"/>
        <v>1.865454545454547</v>
      </c>
      <c r="D71" s="34">
        <f t="shared" si="21"/>
        <v>0.18654545454545471</v>
      </c>
      <c r="E71" s="34">
        <f t="shared" si="21"/>
        <v>1.0369636363636365</v>
      </c>
      <c r="F71" s="35" t="str">
        <f t="shared" si="21"/>
        <v>APORTA</v>
      </c>
      <c r="G71" s="7" t="str">
        <f t="shared" si="21"/>
        <v>Aporta 1,87 pp (19 % de la brecha). Si falla, la suficiencia baja de 122 % a 104 %.</v>
      </c>
    </row>
    <row r="72" spans="1:14" x14ac:dyDescent="0.25">
      <c r="A72" s="25">
        <v>5</v>
      </c>
      <c r="B72" s="14" t="str">
        <f t="shared" si="21"/>
        <v/>
      </c>
      <c r="C72" s="31" t="str">
        <f t="shared" si="21"/>
        <v/>
      </c>
      <c r="D72" s="34" t="str">
        <f t="shared" si="21"/>
        <v/>
      </c>
      <c r="E72" s="34" t="str">
        <f t="shared" si="21"/>
        <v/>
      </c>
      <c r="F72" s="35" t="str">
        <f t="shared" si="21"/>
        <v/>
      </c>
      <c r="G72" s="7" t="str">
        <f t="shared" si="21"/>
        <v/>
      </c>
    </row>
    <row r="73" spans="1:14" x14ac:dyDescent="0.25">
      <c r="A73" s="25">
        <v>6</v>
      </c>
      <c r="B73" s="14" t="str">
        <f t="shared" si="21"/>
        <v/>
      </c>
      <c r="C73" s="31" t="str">
        <f t="shared" si="21"/>
        <v/>
      </c>
      <c r="D73" s="34" t="str">
        <f t="shared" si="21"/>
        <v/>
      </c>
      <c r="E73" s="34" t="str">
        <f t="shared" si="21"/>
        <v/>
      </c>
      <c r="F73" s="35" t="str">
        <f t="shared" si="21"/>
        <v/>
      </c>
      <c r="G73" s="7" t="str">
        <f t="shared" si="21"/>
        <v/>
      </c>
    </row>
    <row r="74" spans="1:14" x14ac:dyDescent="0.25">
      <c r="A74" s="25">
        <v>7</v>
      </c>
      <c r="B74" s="14" t="str">
        <f t="shared" si="21"/>
        <v/>
      </c>
      <c r="C74" s="31" t="str">
        <f t="shared" si="21"/>
        <v/>
      </c>
      <c r="D74" s="34" t="str">
        <f t="shared" si="21"/>
        <v/>
      </c>
      <c r="E74" s="34" t="str">
        <f t="shared" si="21"/>
        <v/>
      </c>
      <c r="F74" s="35" t="str">
        <f t="shared" si="21"/>
        <v/>
      </c>
      <c r="G74" s="7" t="str">
        <f t="shared" si="21"/>
        <v/>
      </c>
    </row>
    <row r="75" spans="1:14" x14ac:dyDescent="0.25">
      <c r="A75" s="25">
        <v>8</v>
      </c>
      <c r="B75" s="14" t="str">
        <f t="shared" si="21"/>
        <v/>
      </c>
      <c r="C75" s="31" t="str">
        <f t="shared" si="21"/>
        <v/>
      </c>
      <c r="D75" s="34" t="str">
        <f t="shared" si="21"/>
        <v/>
      </c>
      <c r="E75" s="34" t="str">
        <f t="shared" si="21"/>
        <v/>
      </c>
      <c r="F75" s="35" t="str">
        <f t="shared" si="21"/>
        <v/>
      </c>
      <c r="G75" s="7" t="str">
        <f t="shared" si="21"/>
        <v/>
      </c>
    </row>
    <row r="77" spans="1:14" ht="22.05" customHeight="1" x14ac:dyDescent="0.25">
      <c r="A77" s="3" t="s">
        <v>104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9" spans="1:14" ht="42" customHeight="1" x14ac:dyDescent="0.25">
      <c r="A79" s="4"/>
      <c r="B79" s="4" t="s">
        <v>105</v>
      </c>
      <c r="C79" s="4" t="str">
        <f t="shared" ref="C79:H79" si="22">IF(C$17="","Dolor "&amp;(COLUMN()-2),C$17)</f>
        <v>Falta de técnicos en la zona</v>
      </c>
      <c r="D79" s="4" t="str">
        <f t="shared" si="22"/>
        <v>Cliente ausente o dirección errónea</v>
      </c>
      <c r="E79" s="4" t="str">
        <f t="shared" si="22"/>
        <v>Falta de equipos (ONT / módem) en almacén</v>
      </c>
      <c r="F79" s="4" t="str">
        <f t="shared" si="22"/>
        <v>Factibilidad mal validada en la venta</v>
      </c>
      <c r="G79" s="4" t="str">
        <f t="shared" si="22"/>
        <v>Dolor 5</v>
      </c>
      <c r="H79" s="4" t="str">
        <f t="shared" si="22"/>
        <v>Dolor 6</v>
      </c>
    </row>
    <row r="80" spans="1:14" x14ac:dyDescent="0.25">
      <c r="A80" s="7" t="s">
        <v>72</v>
      </c>
      <c r="B80" s="14" t="str">
        <f t="shared" ref="B80:B87" si="23">IF(B29="","",B29)</f>
        <v>Agendamiento con confirmación por WhatsApp</v>
      </c>
      <c r="C80" s="21">
        <f>1-MIN(Tope_Efectividad,N(C29))</f>
        <v>1</v>
      </c>
      <c r="D80" s="21">
        <f>1-MIN(Tope_Efectividad,N(D29))</f>
        <v>0.30000000000000004</v>
      </c>
      <c r="E80" s="21">
        <f>1-MIN(Tope_Efectividad,N(E29))</f>
        <v>1</v>
      </c>
      <c r="F80" s="21">
        <f>1-MIN(Tope_Efectividad,N(F29))</f>
        <v>1</v>
      </c>
      <c r="G80" s="21">
        <f>1-MIN(Tope_Efectividad,N(G29))</f>
        <v>1</v>
      </c>
      <c r="H80" s="21">
        <f>1-MIN(Tope_Efectividad,N(H29))</f>
        <v>1</v>
      </c>
    </row>
    <row r="81" spans="1:8" x14ac:dyDescent="0.25">
      <c r="A81" s="7" t="s">
        <v>73</v>
      </c>
      <c r="B81" s="14" t="str">
        <f t="shared" si="23"/>
        <v>Contratación de técnicos tercerizados</v>
      </c>
      <c r="C81" s="21">
        <f>1-MIN(Tope_Efectividad,N(C30))</f>
        <v>0.4</v>
      </c>
      <c r="D81" s="21">
        <f>1-MIN(Tope_Efectividad,N(D30))</f>
        <v>1</v>
      </c>
      <c r="E81" s="21">
        <f>1-MIN(Tope_Efectividad,N(E30))</f>
        <v>1</v>
      </c>
      <c r="F81" s="21">
        <f>1-MIN(Tope_Efectividad,N(F30))</f>
        <v>1</v>
      </c>
      <c r="G81" s="21">
        <f>1-MIN(Tope_Efectividad,N(G30))</f>
        <v>1</v>
      </c>
      <c r="H81" s="21">
        <f>1-MIN(Tope_Efectividad,N(H30))</f>
        <v>1</v>
      </c>
    </row>
    <row r="82" spans="1:8" x14ac:dyDescent="0.25">
      <c r="A82" s="7" t="s">
        <v>74</v>
      </c>
      <c r="B82" s="14" t="str">
        <f t="shared" si="23"/>
        <v>Reposición automática de inventario</v>
      </c>
      <c r="C82" s="21">
        <f>1-MIN(Tope_Efectividad,N(C31))</f>
        <v>0.9</v>
      </c>
      <c r="D82" s="21">
        <f>1-MIN(Tope_Efectividad,N(D31))</f>
        <v>1</v>
      </c>
      <c r="E82" s="21">
        <f>1-MIN(Tope_Efectividad,N(E31))</f>
        <v>0.19999999999999996</v>
      </c>
      <c r="F82" s="21">
        <f>1-MIN(Tope_Efectividad,N(F31))</f>
        <v>1</v>
      </c>
      <c r="G82" s="21">
        <f>1-MIN(Tope_Efectividad,N(G31))</f>
        <v>1</v>
      </c>
      <c r="H82" s="21">
        <f>1-MIN(Tope_Efectividad,N(H31))</f>
        <v>1</v>
      </c>
    </row>
    <row r="83" spans="1:8" x14ac:dyDescent="0.25">
      <c r="A83" s="7" t="s">
        <v>75</v>
      </c>
      <c r="B83" s="14" t="str">
        <f t="shared" si="23"/>
        <v>Validación de factibilidad en el punto de venta</v>
      </c>
      <c r="C83" s="21">
        <f>1-MIN(Tope_Efectividad,N(C32))</f>
        <v>1</v>
      </c>
      <c r="D83" s="21">
        <f>1-MIN(Tope_Efectividad,N(D32))</f>
        <v>0.9</v>
      </c>
      <c r="E83" s="21">
        <f>1-MIN(Tope_Efectividad,N(E32))</f>
        <v>1</v>
      </c>
      <c r="F83" s="21">
        <f>1-MIN(Tope_Efectividad,N(F32))</f>
        <v>0.30000000000000004</v>
      </c>
      <c r="G83" s="21">
        <f>1-MIN(Tope_Efectividad,N(G32))</f>
        <v>1</v>
      </c>
      <c r="H83" s="21">
        <f>1-MIN(Tope_Efectividad,N(H32))</f>
        <v>1</v>
      </c>
    </row>
    <row r="84" spans="1:8" x14ac:dyDescent="0.25">
      <c r="A84" s="7" t="s">
        <v>76</v>
      </c>
      <c r="B84" s="14" t="str">
        <f t="shared" si="23"/>
        <v/>
      </c>
      <c r="C84" s="21">
        <f>1-MIN(Tope_Efectividad,N(C33))</f>
        <v>1</v>
      </c>
      <c r="D84" s="21">
        <f>1-MIN(Tope_Efectividad,N(D33))</f>
        <v>1</v>
      </c>
      <c r="E84" s="21">
        <f>1-MIN(Tope_Efectividad,N(E33))</f>
        <v>1</v>
      </c>
      <c r="F84" s="21">
        <f>1-MIN(Tope_Efectividad,N(F33))</f>
        <v>1</v>
      </c>
      <c r="G84" s="21">
        <f>1-MIN(Tope_Efectividad,N(G33))</f>
        <v>1</v>
      </c>
      <c r="H84" s="21">
        <f>1-MIN(Tope_Efectividad,N(H33))</f>
        <v>1</v>
      </c>
    </row>
    <row r="85" spans="1:8" x14ac:dyDescent="0.25">
      <c r="A85" s="7" t="s">
        <v>77</v>
      </c>
      <c r="B85" s="14" t="str">
        <f t="shared" si="23"/>
        <v/>
      </c>
      <c r="C85" s="21">
        <f>1-MIN(Tope_Efectividad,N(C34))</f>
        <v>1</v>
      </c>
      <c r="D85" s="21">
        <f>1-MIN(Tope_Efectividad,N(D34))</f>
        <v>1</v>
      </c>
      <c r="E85" s="21">
        <f>1-MIN(Tope_Efectividad,N(E34))</f>
        <v>1</v>
      </c>
      <c r="F85" s="21">
        <f>1-MIN(Tope_Efectividad,N(F34))</f>
        <v>1</v>
      </c>
      <c r="G85" s="21">
        <f>1-MIN(Tope_Efectividad,N(G34))</f>
        <v>1</v>
      </c>
      <c r="H85" s="21">
        <f>1-MIN(Tope_Efectividad,N(H34))</f>
        <v>1</v>
      </c>
    </row>
    <row r="86" spans="1:8" x14ac:dyDescent="0.25">
      <c r="A86" s="7" t="s">
        <v>78</v>
      </c>
      <c r="B86" s="14" t="str">
        <f t="shared" si="23"/>
        <v/>
      </c>
      <c r="C86" s="21">
        <f>1-MIN(Tope_Efectividad,N(C35))</f>
        <v>1</v>
      </c>
      <c r="D86" s="21">
        <f>1-MIN(Tope_Efectividad,N(D35))</f>
        <v>1</v>
      </c>
      <c r="E86" s="21">
        <f>1-MIN(Tope_Efectividad,N(E35))</f>
        <v>1</v>
      </c>
      <c r="F86" s="21">
        <f>1-MIN(Tope_Efectividad,N(F35))</f>
        <v>1</v>
      </c>
      <c r="G86" s="21">
        <f>1-MIN(Tope_Efectividad,N(G35))</f>
        <v>1</v>
      </c>
      <c r="H86" s="21">
        <f>1-MIN(Tope_Efectividad,N(H35))</f>
        <v>1</v>
      </c>
    </row>
    <row r="87" spans="1:8" x14ac:dyDescent="0.25">
      <c r="A87" s="7" t="s">
        <v>79</v>
      </c>
      <c r="B87" s="14" t="str">
        <f t="shared" si="23"/>
        <v/>
      </c>
      <c r="C87" s="21">
        <f>1-MIN(Tope_Efectividad,N(C36))</f>
        <v>1</v>
      </c>
      <c r="D87" s="21">
        <f>1-MIN(Tope_Efectividad,N(D36))</f>
        <v>1</v>
      </c>
      <c r="E87" s="21">
        <f>1-MIN(Tope_Efectividad,N(E36))</f>
        <v>1</v>
      </c>
      <c r="F87" s="21">
        <f>1-MIN(Tope_Efectividad,N(F36))</f>
        <v>1</v>
      </c>
      <c r="G87" s="21">
        <f>1-MIN(Tope_Efectividad,N(G36))</f>
        <v>1</v>
      </c>
      <c r="H87" s="21">
        <f>1-MIN(Tope_Efectividad,N(H36))</f>
        <v>1</v>
      </c>
    </row>
    <row r="88" spans="1:8" x14ac:dyDescent="0.25">
      <c r="B88" s="20" t="s">
        <v>107</v>
      </c>
      <c r="C88" s="30">
        <f t="shared" ref="C88:H88" si="24">PRODUCT(C80:C87)</f>
        <v>0.36000000000000004</v>
      </c>
      <c r="D88" s="30">
        <f t="shared" si="24"/>
        <v>0.27000000000000007</v>
      </c>
      <c r="E88" s="30">
        <f t="shared" si="24"/>
        <v>0.19999999999999996</v>
      </c>
      <c r="F88" s="30">
        <f t="shared" si="24"/>
        <v>0.30000000000000004</v>
      </c>
      <c r="G88" s="30">
        <f t="shared" si="24"/>
        <v>1</v>
      </c>
      <c r="H88" s="30">
        <f t="shared" si="24"/>
        <v>1</v>
      </c>
    </row>
    <row r="89" spans="1:8" x14ac:dyDescent="0.25">
      <c r="B89" s="20" t="s">
        <v>108</v>
      </c>
      <c r="C89" s="30">
        <f t="shared" ref="C89:H89" si="25">1-C88</f>
        <v>0.6399999999999999</v>
      </c>
      <c r="D89" s="30">
        <f t="shared" si="25"/>
        <v>0.73</v>
      </c>
      <c r="E89" s="30">
        <f t="shared" si="25"/>
        <v>0.8</v>
      </c>
      <c r="F89" s="30">
        <f t="shared" si="25"/>
        <v>0.7</v>
      </c>
      <c r="G89" s="30">
        <f t="shared" si="25"/>
        <v>0</v>
      </c>
      <c r="H89" s="30">
        <f t="shared" si="25"/>
        <v>0</v>
      </c>
    </row>
    <row r="91" spans="1:8" ht="42" customHeight="1" x14ac:dyDescent="0.25">
      <c r="A91" s="4"/>
      <c r="B91" s="4" t="s">
        <v>106</v>
      </c>
      <c r="C91" s="4" t="str">
        <f t="shared" ref="C91:H91" si="26">IF(C$17="","Dolor "&amp;(COLUMN()-2),C$17)</f>
        <v>Falta de técnicos en la zona</v>
      </c>
      <c r="D91" s="4" t="str">
        <f t="shared" si="26"/>
        <v>Cliente ausente o dirección errónea</v>
      </c>
      <c r="E91" s="4" t="str">
        <f t="shared" si="26"/>
        <v>Falta de equipos (ONT / módem) en almacén</v>
      </c>
      <c r="F91" s="4" t="str">
        <f t="shared" si="26"/>
        <v>Factibilidad mal validada en la venta</v>
      </c>
      <c r="G91" s="4" t="str">
        <f t="shared" si="26"/>
        <v>Dolor 5</v>
      </c>
      <c r="H91" s="4" t="str">
        <f t="shared" si="26"/>
        <v>Dolor 6</v>
      </c>
    </row>
    <row r="92" spans="1:8" x14ac:dyDescent="0.25">
      <c r="A92" s="7" t="s">
        <v>72</v>
      </c>
      <c r="B92" s="14" t="str">
        <f t="shared" ref="B92:B99" si="27">IF(B29="","",B29)</f>
        <v>Agendamiento con confirmación por WhatsApp</v>
      </c>
      <c r="C92" s="21">
        <f>1-MIN(Tope_Efectividad,N(C29)*N($I29))</f>
        <v>1</v>
      </c>
      <c r="D92" s="21">
        <f>1-MIN(Tope_Efectividad,N(D29)*N($I29))</f>
        <v>0.30000000000000004</v>
      </c>
      <c r="E92" s="21">
        <f>1-MIN(Tope_Efectividad,N(E29)*N($I29))</f>
        <v>1</v>
      </c>
      <c r="F92" s="21">
        <f>1-MIN(Tope_Efectividad,N(F29)*N($I29))</f>
        <v>1</v>
      </c>
      <c r="G92" s="21">
        <f>1-MIN(Tope_Efectividad,N(G29)*N($I29))</f>
        <v>1</v>
      </c>
      <c r="H92" s="21">
        <f>1-MIN(Tope_Efectividad,N(H29)*N($I29))</f>
        <v>1</v>
      </c>
    </row>
    <row r="93" spans="1:8" x14ac:dyDescent="0.25">
      <c r="A93" s="7" t="s">
        <v>73</v>
      </c>
      <c r="B93" s="14" t="str">
        <f t="shared" si="27"/>
        <v>Contratación de técnicos tercerizados</v>
      </c>
      <c r="C93" s="21">
        <f>1-MIN(Tope_Efectividad,N(C30)*N($I30))</f>
        <v>0.45999999999999996</v>
      </c>
      <c r="D93" s="21">
        <f>1-MIN(Tope_Efectividad,N(D30)*N($I30))</f>
        <v>1</v>
      </c>
      <c r="E93" s="21">
        <f>1-MIN(Tope_Efectividad,N(E30)*N($I30))</f>
        <v>1</v>
      </c>
      <c r="F93" s="21">
        <f>1-MIN(Tope_Efectividad,N(F30)*N($I30))</f>
        <v>1</v>
      </c>
      <c r="G93" s="21">
        <f>1-MIN(Tope_Efectividad,N(G30)*N($I30))</f>
        <v>1</v>
      </c>
      <c r="H93" s="21">
        <f>1-MIN(Tope_Efectividad,N(H30)*N($I30))</f>
        <v>1</v>
      </c>
    </row>
    <row r="94" spans="1:8" x14ac:dyDescent="0.25">
      <c r="A94" s="7" t="s">
        <v>74</v>
      </c>
      <c r="B94" s="14" t="str">
        <f t="shared" si="27"/>
        <v>Reposición automática de inventario</v>
      </c>
      <c r="C94" s="21">
        <f>1-MIN(Tope_Efectividad,N(C31)*N($I31))</f>
        <v>0.9</v>
      </c>
      <c r="D94" s="21">
        <f>1-MIN(Tope_Efectividad,N(D31)*N($I31))</f>
        <v>1</v>
      </c>
      <c r="E94" s="21">
        <f>1-MIN(Tope_Efectividad,N(E31)*N($I31))</f>
        <v>0.19999999999999996</v>
      </c>
      <c r="F94" s="21">
        <f>1-MIN(Tope_Efectividad,N(F31)*N($I31))</f>
        <v>1</v>
      </c>
      <c r="G94" s="21">
        <f>1-MIN(Tope_Efectividad,N(G31)*N($I31))</f>
        <v>1</v>
      </c>
      <c r="H94" s="21">
        <f>1-MIN(Tope_Efectividad,N(H31)*N($I31))</f>
        <v>1</v>
      </c>
    </row>
    <row r="95" spans="1:8" x14ac:dyDescent="0.25">
      <c r="A95" s="7" t="s">
        <v>75</v>
      </c>
      <c r="B95" s="14" t="str">
        <f t="shared" si="27"/>
        <v>Validación de factibilidad en el punto de venta</v>
      </c>
      <c r="C95" s="21">
        <f>1-MIN(Tope_Efectividad,N(C32)*N($I32))</f>
        <v>1</v>
      </c>
      <c r="D95" s="21">
        <f>1-MIN(Tope_Efectividad,N(D32)*N($I32))</f>
        <v>0.9</v>
      </c>
      <c r="E95" s="21">
        <f>1-MIN(Tope_Efectividad,N(E32)*N($I32))</f>
        <v>1</v>
      </c>
      <c r="F95" s="21">
        <f>1-MIN(Tope_Efectividad,N(F32)*N($I32))</f>
        <v>0.30000000000000004</v>
      </c>
      <c r="G95" s="21">
        <f>1-MIN(Tope_Efectividad,N(G32)*N($I32))</f>
        <v>1</v>
      </c>
      <c r="H95" s="21">
        <f>1-MIN(Tope_Efectividad,N(H32)*N($I32))</f>
        <v>1</v>
      </c>
    </row>
    <row r="96" spans="1:8" x14ac:dyDescent="0.25">
      <c r="A96" s="7" t="s">
        <v>76</v>
      </c>
      <c r="B96" s="14" t="str">
        <f t="shared" si="27"/>
        <v/>
      </c>
      <c r="C96" s="21">
        <f>1-MIN(Tope_Efectividad,N(C33)*N($I33))</f>
        <v>1</v>
      </c>
      <c r="D96" s="21">
        <f>1-MIN(Tope_Efectividad,N(D33)*N($I33))</f>
        <v>1</v>
      </c>
      <c r="E96" s="21">
        <f>1-MIN(Tope_Efectividad,N(E33)*N($I33))</f>
        <v>1</v>
      </c>
      <c r="F96" s="21">
        <f>1-MIN(Tope_Efectividad,N(F33)*N($I33))</f>
        <v>1</v>
      </c>
      <c r="G96" s="21">
        <f>1-MIN(Tope_Efectividad,N(G33)*N($I33))</f>
        <v>1</v>
      </c>
      <c r="H96" s="21">
        <f>1-MIN(Tope_Efectividad,N(H33)*N($I33))</f>
        <v>1</v>
      </c>
    </row>
    <row r="97" spans="1:13" x14ac:dyDescent="0.25">
      <c r="A97" s="7" t="s">
        <v>77</v>
      </c>
      <c r="B97" s="14" t="str">
        <f t="shared" si="27"/>
        <v/>
      </c>
      <c r="C97" s="21">
        <f>1-MIN(Tope_Efectividad,N(C34)*N($I34))</f>
        <v>1</v>
      </c>
      <c r="D97" s="21">
        <f>1-MIN(Tope_Efectividad,N(D34)*N($I34))</f>
        <v>1</v>
      </c>
      <c r="E97" s="21">
        <f>1-MIN(Tope_Efectividad,N(E34)*N($I34))</f>
        <v>1</v>
      </c>
      <c r="F97" s="21">
        <f>1-MIN(Tope_Efectividad,N(F34)*N($I34))</f>
        <v>1</v>
      </c>
      <c r="G97" s="21">
        <f>1-MIN(Tope_Efectividad,N(G34)*N($I34))</f>
        <v>1</v>
      </c>
      <c r="H97" s="21">
        <f>1-MIN(Tope_Efectividad,N(H34)*N($I34))</f>
        <v>1</v>
      </c>
    </row>
    <row r="98" spans="1:13" x14ac:dyDescent="0.25">
      <c r="A98" s="7" t="s">
        <v>78</v>
      </c>
      <c r="B98" s="14" t="str">
        <f t="shared" si="27"/>
        <v/>
      </c>
      <c r="C98" s="21">
        <f>1-MIN(Tope_Efectividad,N(C35)*N($I35))</f>
        <v>1</v>
      </c>
      <c r="D98" s="21">
        <f>1-MIN(Tope_Efectividad,N(D35)*N($I35))</f>
        <v>1</v>
      </c>
      <c r="E98" s="21">
        <f>1-MIN(Tope_Efectividad,N(E35)*N($I35))</f>
        <v>1</v>
      </c>
      <c r="F98" s="21">
        <f>1-MIN(Tope_Efectividad,N(F35)*N($I35))</f>
        <v>1</v>
      </c>
      <c r="G98" s="21">
        <f>1-MIN(Tope_Efectividad,N(G35)*N($I35))</f>
        <v>1</v>
      </c>
      <c r="H98" s="21">
        <f>1-MIN(Tope_Efectividad,N(H35)*N($I35))</f>
        <v>1</v>
      </c>
    </row>
    <row r="99" spans="1:13" x14ac:dyDescent="0.25">
      <c r="A99" s="7" t="s">
        <v>79</v>
      </c>
      <c r="B99" s="14" t="str">
        <f t="shared" si="27"/>
        <v/>
      </c>
      <c r="C99" s="21">
        <f>1-MIN(Tope_Efectividad,N(C36)*N($I36))</f>
        <v>1</v>
      </c>
      <c r="D99" s="21">
        <f>1-MIN(Tope_Efectividad,N(D36)*N($I36))</f>
        <v>1</v>
      </c>
      <c r="E99" s="21">
        <f>1-MIN(Tope_Efectividad,N(E36)*N($I36))</f>
        <v>1</v>
      </c>
      <c r="F99" s="21">
        <f>1-MIN(Tope_Efectividad,N(F36)*N($I36))</f>
        <v>1</v>
      </c>
      <c r="G99" s="21">
        <f>1-MIN(Tope_Efectividad,N(G36)*N($I36))</f>
        <v>1</v>
      </c>
      <c r="H99" s="21">
        <f>1-MIN(Tope_Efectividad,N(H36)*N($I36))</f>
        <v>1</v>
      </c>
    </row>
    <row r="100" spans="1:13" x14ac:dyDescent="0.25">
      <c r="B100" s="20" t="s">
        <v>107</v>
      </c>
      <c r="C100" s="30">
        <f t="shared" ref="C100:H100" si="28">PRODUCT(C92:C99)</f>
        <v>0.41399999999999998</v>
      </c>
      <c r="D100" s="30">
        <f t="shared" si="28"/>
        <v>0.27000000000000007</v>
      </c>
      <c r="E100" s="30">
        <f t="shared" si="28"/>
        <v>0.19999999999999996</v>
      </c>
      <c r="F100" s="30">
        <f t="shared" si="28"/>
        <v>0.30000000000000004</v>
      </c>
      <c r="G100" s="30">
        <f t="shared" si="28"/>
        <v>1</v>
      </c>
      <c r="H100" s="30">
        <f t="shared" si="28"/>
        <v>1</v>
      </c>
    </row>
    <row r="101" spans="1:13" x14ac:dyDescent="0.25">
      <c r="B101" s="20" t="s">
        <v>109</v>
      </c>
      <c r="C101" s="30">
        <f t="shared" ref="C101:H101" si="29">1-C100</f>
        <v>0.58600000000000008</v>
      </c>
      <c r="D101" s="30">
        <f t="shared" si="29"/>
        <v>0.73</v>
      </c>
      <c r="E101" s="30">
        <f t="shared" si="29"/>
        <v>0.8</v>
      </c>
      <c r="F101" s="30">
        <f t="shared" si="29"/>
        <v>0.7</v>
      </c>
      <c r="G101" s="30">
        <f t="shared" si="29"/>
        <v>0</v>
      </c>
      <c r="H101" s="30">
        <f t="shared" si="29"/>
        <v>0</v>
      </c>
    </row>
    <row r="103" spans="1:13" ht="42" customHeight="1" x14ac:dyDescent="0.25">
      <c r="A103" s="4"/>
      <c r="B103" s="4" t="s">
        <v>110</v>
      </c>
      <c r="C103" s="4" t="str">
        <f t="shared" ref="C103:H103" si="30">IF(C$17="","Dolor "&amp;(COLUMN()-2),C$17)</f>
        <v>Falta de técnicos en la zona</v>
      </c>
      <c r="D103" s="4" t="str">
        <f t="shared" si="30"/>
        <v>Cliente ausente o dirección errónea</v>
      </c>
      <c r="E103" s="4" t="str">
        <f t="shared" si="30"/>
        <v>Falta de equipos (ONT / módem) en almacén</v>
      </c>
      <c r="F103" s="4" t="str">
        <f t="shared" si="30"/>
        <v>Factibilidad mal validada en la venta</v>
      </c>
      <c r="G103" s="4" t="str">
        <f t="shared" si="30"/>
        <v>Dolor 5</v>
      </c>
      <c r="H103" s="4" t="str">
        <f t="shared" si="30"/>
        <v>Dolor 6</v>
      </c>
      <c r="I103" s="4" t="s">
        <v>111</v>
      </c>
      <c r="J103" s="4" t="s">
        <v>112</v>
      </c>
      <c r="K103" s="4" t="s">
        <v>98</v>
      </c>
      <c r="L103" s="4" t="s">
        <v>99</v>
      </c>
      <c r="M103" s="4" t="s">
        <v>113</v>
      </c>
    </row>
    <row r="104" spans="1:13" x14ac:dyDescent="0.25">
      <c r="A104" s="7" t="s">
        <v>72</v>
      </c>
      <c r="B104" s="14" t="str">
        <f t="shared" ref="B104:B111" si="31">IF(B29="","",B29)</f>
        <v>Agendamiento con confirmación por WhatsApp</v>
      </c>
      <c r="C104" s="21">
        <f t="shared" ref="C104:H111" si="32">1-C$100/C92</f>
        <v>0.58600000000000008</v>
      </c>
      <c r="D104" s="21">
        <f t="shared" si="32"/>
        <v>9.9999999999999867E-2</v>
      </c>
      <c r="E104" s="21">
        <f t="shared" si="32"/>
        <v>0.8</v>
      </c>
      <c r="F104" s="21">
        <f t="shared" si="32"/>
        <v>0.7</v>
      </c>
      <c r="G104" s="21">
        <f t="shared" si="32"/>
        <v>0</v>
      </c>
      <c r="H104" s="21">
        <f t="shared" si="32"/>
        <v>0</v>
      </c>
      <c r="I104" s="16">
        <f t="shared" ref="I104:I111" si="33">$C$11*SUMPRODUCT($C$22:$H$22,C104:H104)</f>
        <v>9.1423636363636369</v>
      </c>
      <c r="J104" s="21">
        <f t="shared" ref="J104:J111" si="34">IF($C$12=0,0,I104/$C$12)</f>
        <v>0.91423636363636374</v>
      </c>
      <c r="K104" s="38">
        <f t="shared" ref="K104:K111" si="35">$D$41-I104</f>
        <v>3.0927272727272754</v>
      </c>
      <c r="L104" s="21">
        <f t="shared" ref="L104:L111" si="36">IF($C$12=0,0,K104/$C$12)</f>
        <v>0.30927272727272753</v>
      </c>
      <c r="M104" s="39">
        <f t="shared" ref="M104:M111" si="37">IF(B29="",-1,K104)-ROW()/1000000000</f>
        <v>3.0927271687272753</v>
      </c>
    </row>
    <row r="105" spans="1:13" x14ac:dyDescent="0.25">
      <c r="A105" s="7" t="s">
        <v>73</v>
      </c>
      <c r="B105" s="14" t="str">
        <f t="shared" si="31"/>
        <v>Contratación de técnicos tercerizados</v>
      </c>
      <c r="C105" s="21">
        <f t="shared" si="32"/>
        <v>9.9999999999999978E-2</v>
      </c>
      <c r="D105" s="21">
        <f t="shared" si="32"/>
        <v>0.73</v>
      </c>
      <c r="E105" s="21">
        <f t="shared" si="32"/>
        <v>0.8</v>
      </c>
      <c r="F105" s="21">
        <f t="shared" si="32"/>
        <v>0.7</v>
      </c>
      <c r="G105" s="21">
        <f t="shared" si="32"/>
        <v>0</v>
      </c>
      <c r="H105" s="21">
        <f t="shared" si="32"/>
        <v>0</v>
      </c>
      <c r="I105" s="16">
        <f t="shared" si="33"/>
        <v>8.6563636363636363</v>
      </c>
      <c r="J105" s="21">
        <f t="shared" si="34"/>
        <v>0.86563636363636365</v>
      </c>
      <c r="K105" s="38">
        <f t="shared" si="35"/>
        <v>3.5787272727272761</v>
      </c>
      <c r="L105" s="21">
        <f t="shared" si="36"/>
        <v>0.35787272727272762</v>
      </c>
      <c r="M105" s="39">
        <f t="shared" si="37"/>
        <v>3.5787271677272763</v>
      </c>
    </row>
    <row r="106" spans="1:13" x14ac:dyDescent="0.25">
      <c r="A106" s="7" t="s">
        <v>74</v>
      </c>
      <c r="B106" s="14" t="str">
        <f t="shared" si="31"/>
        <v>Reposición automática de inventario</v>
      </c>
      <c r="C106" s="21">
        <f t="shared" si="32"/>
        <v>0.54</v>
      </c>
      <c r="D106" s="21">
        <f t="shared" si="32"/>
        <v>0.73</v>
      </c>
      <c r="E106" s="21">
        <f t="shared" si="32"/>
        <v>0</v>
      </c>
      <c r="F106" s="21">
        <f t="shared" si="32"/>
        <v>0.7</v>
      </c>
      <c r="G106" s="21">
        <f t="shared" si="32"/>
        <v>0</v>
      </c>
      <c r="H106" s="21">
        <f t="shared" si="32"/>
        <v>0</v>
      </c>
      <c r="I106" s="16">
        <f t="shared" si="33"/>
        <v>9.278181818181821</v>
      </c>
      <c r="J106" s="21">
        <f t="shared" si="34"/>
        <v>0.9278181818181821</v>
      </c>
      <c r="K106" s="38">
        <f t="shared" si="35"/>
        <v>2.9569090909090914</v>
      </c>
      <c r="L106" s="21">
        <f t="shared" si="36"/>
        <v>0.29569090909090912</v>
      </c>
      <c r="M106" s="39">
        <f t="shared" si="37"/>
        <v>2.9569089849090915</v>
      </c>
    </row>
    <row r="107" spans="1:13" x14ac:dyDescent="0.25">
      <c r="A107" s="7" t="s">
        <v>75</v>
      </c>
      <c r="B107" s="14" t="str">
        <f t="shared" si="31"/>
        <v>Validación de factibilidad en el punto de venta</v>
      </c>
      <c r="C107" s="21">
        <f t="shared" si="32"/>
        <v>0.58600000000000008</v>
      </c>
      <c r="D107" s="21">
        <f t="shared" si="32"/>
        <v>0.7</v>
      </c>
      <c r="E107" s="21">
        <f t="shared" si="32"/>
        <v>0.8</v>
      </c>
      <c r="F107" s="21">
        <f t="shared" si="32"/>
        <v>0</v>
      </c>
      <c r="G107" s="21">
        <f t="shared" si="32"/>
        <v>0</v>
      </c>
      <c r="H107" s="21">
        <f t="shared" si="32"/>
        <v>0</v>
      </c>
      <c r="I107" s="16">
        <f t="shared" si="33"/>
        <v>10.369636363636365</v>
      </c>
      <c r="J107" s="21">
        <f t="shared" si="34"/>
        <v>1.0369636363636365</v>
      </c>
      <c r="K107" s="38">
        <f t="shared" si="35"/>
        <v>1.865454545454547</v>
      </c>
      <c r="L107" s="21">
        <f t="shared" si="36"/>
        <v>0.18654545454545471</v>
      </c>
      <c r="M107" s="39">
        <f t="shared" si="37"/>
        <v>1.8654544384545471</v>
      </c>
    </row>
    <row r="108" spans="1:13" x14ac:dyDescent="0.25">
      <c r="A108" s="7" t="s">
        <v>76</v>
      </c>
      <c r="B108" s="14" t="str">
        <f t="shared" si="31"/>
        <v/>
      </c>
      <c r="C108" s="21">
        <f t="shared" si="32"/>
        <v>0.58600000000000008</v>
      </c>
      <c r="D108" s="21">
        <f t="shared" si="32"/>
        <v>0.73</v>
      </c>
      <c r="E108" s="21">
        <f t="shared" si="32"/>
        <v>0.8</v>
      </c>
      <c r="F108" s="21">
        <f t="shared" si="32"/>
        <v>0.7</v>
      </c>
      <c r="G108" s="21">
        <f t="shared" si="32"/>
        <v>0</v>
      </c>
      <c r="H108" s="21">
        <f t="shared" si="32"/>
        <v>0</v>
      </c>
      <c r="I108" s="16">
        <f t="shared" si="33"/>
        <v>12.235090909090911</v>
      </c>
      <c r="J108" s="21">
        <f t="shared" si="34"/>
        <v>1.2235090909090911</v>
      </c>
      <c r="K108" s="38">
        <f t="shared" si="35"/>
        <v>0</v>
      </c>
      <c r="L108" s="21">
        <f t="shared" si="36"/>
        <v>0</v>
      </c>
      <c r="M108" s="39">
        <f t="shared" si="37"/>
        <v>-1.0000001080000001</v>
      </c>
    </row>
    <row r="109" spans="1:13" x14ac:dyDescent="0.25">
      <c r="A109" s="7" t="s">
        <v>77</v>
      </c>
      <c r="B109" s="14" t="str">
        <f t="shared" si="31"/>
        <v/>
      </c>
      <c r="C109" s="21">
        <f t="shared" si="32"/>
        <v>0.58600000000000008</v>
      </c>
      <c r="D109" s="21">
        <f t="shared" si="32"/>
        <v>0.73</v>
      </c>
      <c r="E109" s="21">
        <f t="shared" si="32"/>
        <v>0.8</v>
      </c>
      <c r="F109" s="21">
        <f t="shared" si="32"/>
        <v>0.7</v>
      </c>
      <c r="G109" s="21">
        <f t="shared" si="32"/>
        <v>0</v>
      </c>
      <c r="H109" s="21">
        <f t="shared" si="32"/>
        <v>0</v>
      </c>
      <c r="I109" s="16">
        <f t="shared" si="33"/>
        <v>12.235090909090911</v>
      </c>
      <c r="J109" s="21">
        <f t="shared" si="34"/>
        <v>1.2235090909090911</v>
      </c>
      <c r="K109" s="38">
        <f t="shared" si="35"/>
        <v>0</v>
      </c>
      <c r="L109" s="21">
        <f t="shared" si="36"/>
        <v>0</v>
      </c>
      <c r="M109" s="39">
        <f t="shared" si="37"/>
        <v>-1.0000001089999999</v>
      </c>
    </row>
    <row r="110" spans="1:13" x14ac:dyDescent="0.25">
      <c r="A110" s="7" t="s">
        <v>78</v>
      </c>
      <c r="B110" s="14" t="str">
        <f t="shared" si="31"/>
        <v/>
      </c>
      <c r="C110" s="21">
        <f t="shared" si="32"/>
        <v>0.58600000000000008</v>
      </c>
      <c r="D110" s="21">
        <f t="shared" si="32"/>
        <v>0.73</v>
      </c>
      <c r="E110" s="21">
        <f t="shared" si="32"/>
        <v>0.8</v>
      </c>
      <c r="F110" s="21">
        <f t="shared" si="32"/>
        <v>0.7</v>
      </c>
      <c r="G110" s="21">
        <f t="shared" si="32"/>
        <v>0</v>
      </c>
      <c r="H110" s="21">
        <f t="shared" si="32"/>
        <v>0</v>
      </c>
      <c r="I110" s="16">
        <f t="shared" si="33"/>
        <v>12.235090909090911</v>
      </c>
      <c r="J110" s="21">
        <f t="shared" si="34"/>
        <v>1.2235090909090911</v>
      </c>
      <c r="K110" s="38">
        <f t="shared" si="35"/>
        <v>0</v>
      </c>
      <c r="L110" s="21">
        <f t="shared" si="36"/>
        <v>0</v>
      </c>
      <c r="M110" s="39">
        <f t="shared" si="37"/>
        <v>-1.00000011</v>
      </c>
    </row>
    <row r="111" spans="1:13" x14ac:dyDescent="0.25">
      <c r="A111" s="7" t="s">
        <v>79</v>
      </c>
      <c r="B111" s="14" t="str">
        <f t="shared" si="31"/>
        <v/>
      </c>
      <c r="C111" s="21">
        <f t="shared" si="32"/>
        <v>0.58600000000000008</v>
      </c>
      <c r="D111" s="21">
        <f t="shared" si="32"/>
        <v>0.73</v>
      </c>
      <c r="E111" s="21">
        <f t="shared" si="32"/>
        <v>0.8</v>
      </c>
      <c r="F111" s="21">
        <f t="shared" si="32"/>
        <v>0.7</v>
      </c>
      <c r="G111" s="21">
        <f t="shared" si="32"/>
        <v>0</v>
      </c>
      <c r="H111" s="21">
        <f t="shared" si="32"/>
        <v>0</v>
      </c>
      <c r="I111" s="16">
        <f t="shared" si="33"/>
        <v>12.235090909090911</v>
      </c>
      <c r="J111" s="21">
        <f t="shared" si="34"/>
        <v>1.2235090909090911</v>
      </c>
      <c r="K111" s="38">
        <f t="shared" si="35"/>
        <v>0</v>
      </c>
      <c r="L111" s="21">
        <f t="shared" si="36"/>
        <v>0</v>
      </c>
      <c r="M111" s="39">
        <f t="shared" si="37"/>
        <v>-1.0000001110000001</v>
      </c>
    </row>
    <row r="113" spans="1:3" ht="26.4" x14ac:dyDescent="0.25">
      <c r="A113" s="4" t="s">
        <v>102</v>
      </c>
      <c r="B113" s="4" t="s">
        <v>114</v>
      </c>
      <c r="C113" s="4" t="s">
        <v>115</v>
      </c>
    </row>
    <row r="114" spans="1:3" x14ac:dyDescent="0.25">
      <c r="A114" s="7">
        <v>1</v>
      </c>
      <c r="C114" s="14">
        <f t="shared" ref="C114:C121" si="38">MATCH(LARGE($M$104:$M$111,A114),$M$104:$M$111,0)</f>
        <v>2</v>
      </c>
    </row>
    <row r="115" spans="1:3" x14ac:dyDescent="0.25">
      <c r="A115" s="7">
        <v>2</v>
      </c>
      <c r="C115" s="14">
        <f t="shared" si="38"/>
        <v>1</v>
      </c>
    </row>
    <row r="116" spans="1:3" x14ac:dyDescent="0.25">
      <c r="A116" s="7">
        <v>3</v>
      </c>
      <c r="C116" s="14">
        <f t="shared" si="38"/>
        <v>3</v>
      </c>
    </row>
    <row r="117" spans="1:3" x14ac:dyDescent="0.25">
      <c r="A117" s="7">
        <v>4</v>
      </c>
      <c r="C117" s="14">
        <f t="shared" si="38"/>
        <v>4</v>
      </c>
    </row>
    <row r="118" spans="1:3" x14ac:dyDescent="0.25">
      <c r="A118" s="7">
        <v>5</v>
      </c>
      <c r="C118" s="14">
        <f t="shared" si="38"/>
        <v>5</v>
      </c>
    </row>
    <row r="119" spans="1:3" x14ac:dyDescent="0.25">
      <c r="A119" s="7">
        <v>6</v>
      </c>
      <c r="C119" s="14">
        <f t="shared" si="38"/>
        <v>6</v>
      </c>
    </row>
    <row r="120" spans="1:3" x14ac:dyDescent="0.25">
      <c r="A120" s="7">
        <v>7</v>
      </c>
      <c r="C120" s="14">
        <f t="shared" si="38"/>
        <v>7</v>
      </c>
    </row>
    <row r="121" spans="1:3" x14ac:dyDescent="0.25">
      <c r="A121" s="7">
        <v>8</v>
      </c>
      <c r="C121" s="14">
        <f t="shared" si="38"/>
        <v>8</v>
      </c>
    </row>
    <row r="123" spans="1:3" x14ac:dyDescent="0.25">
      <c r="B123" s="4" t="s">
        <v>116</v>
      </c>
      <c r="C123" s="4" t="s">
        <v>14</v>
      </c>
    </row>
    <row r="124" spans="1:3" x14ac:dyDescent="0.25">
      <c r="B124" s="14" t="s">
        <v>117</v>
      </c>
      <c r="C124" s="16">
        <f>N(C8)</f>
        <v>82</v>
      </c>
    </row>
    <row r="125" spans="1:3" x14ac:dyDescent="0.25">
      <c r="B125" s="14" t="s">
        <v>118</v>
      </c>
      <c r="C125" s="16">
        <f>N(D44)</f>
        <v>94.235090909090914</v>
      </c>
    </row>
    <row r="126" spans="1:3" x14ac:dyDescent="0.25">
      <c r="B126" s="14" t="s">
        <v>119</v>
      </c>
      <c r="C126" s="16">
        <f>N(C44)</f>
        <v>94.63272727272728</v>
      </c>
    </row>
    <row r="127" spans="1:3" x14ac:dyDescent="0.25">
      <c r="B127" s="14" t="s">
        <v>38</v>
      </c>
      <c r="C127" s="16">
        <f>N(C9)</f>
        <v>92</v>
      </c>
    </row>
    <row r="129" spans="2:3" x14ac:dyDescent="0.25">
      <c r="B129" s="4" t="s">
        <v>120</v>
      </c>
      <c r="C129" s="4" t="s">
        <v>14</v>
      </c>
    </row>
    <row r="130" spans="2:3" x14ac:dyDescent="0.25">
      <c r="B130" s="14" t="s">
        <v>121</v>
      </c>
      <c r="C130" s="14" t="str">
        <f>IF(C7="%","pp",IF(C7="","puntos",C7))</f>
        <v>pp</v>
      </c>
    </row>
    <row r="131" spans="2:3" x14ac:dyDescent="0.25">
      <c r="B131" s="14" t="s">
        <v>122</v>
      </c>
      <c r="C131" s="14">
        <f>IF(C10="",IF(C6="Sube es mejor",100,0),C10)</f>
        <v>100</v>
      </c>
    </row>
    <row r="132" spans="2:3" x14ac:dyDescent="0.25">
      <c r="B132" s="14" t="s">
        <v>123</v>
      </c>
      <c r="C132" s="14">
        <f>IF(MAX(C22:H22)=0,0,MATCH(MAX(C22:H22),C22:H22,0))</f>
        <v>1</v>
      </c>
    </row>
    <row r="133" spans="2:3" x14ac:dyDescent="0.25">
      <c r="B133" s="14" t="s">
        <v>124</v>
      </c>
      <c r="C133" s="14" t="str">
        <f>IF(C132=0,"",INDEX(C17:H17,C132))</f>
        <v>Falta de técnicos en la zona</v>
      </c>
    </row>
  </sheetData>
  <sheetProtection sheet="1" objects="1" scenarios="1" formatCells="0" formatColumns="0" formatRows="0"/>
  <conditionalFormatting sqref="E6:E8">
    <cfRule type="containsText" dxfId="64" priority="1" stopIfTrue="1" operator="containsText" text="⚠">
      <formula>NOT(ISERROR(SEARCH("⚠",E6)))</formula>
    </cfRule>
    <cfRule type="containsText" dxfId="63" priority="2" stopIfTrue="1" operator="containsText" text="✔">
      <formula>NOT(ISERROR(SEARCH("✔",E6)))</formula>
    </cfRule>
  </conditionalFormatting>
  <conditionalFormatting sqref="C24">
    <cfRule type="containsText" dxfId="62" priority="3" stopIfTrue="1" operator="containsText" text="⚠">
      <formula>NOT(ISERROR(SEARCH("⚠",C24)))</formula>
    </cfRule>
    <cfRule type="containsText" dxfId="61" priority="4" stopIfTrue="1" operator="containsText" text="✔">
      <formula>NOT(ISERROR(SEARCH("✔",C24)))</formula>
    </cfRule>
  </conditionalFormatting>
  <conditionalFormatting sqref="N29:N36">
    <cfRule type="containsText" dxfId="60" priority="5" stopIfTrue="1" operator="containsText" text="⚠">
      <formula>NOT(ISERROR(SEARCH("⚠",N29)))</formula>
    </cfRule>
    <cfRule type="containsText" dxfId="59" priority="6" stopIfTrue="1" operator="containsText" text="✔">
      <formula>NOT(ISERROR(SEARCH("✔",N29)))</formula>
    </cfRule>
  </conditionalFormatting>
  <conditionalFormatting sqref="C37">
    <cfRule type="containsText" dxfId="58" priority="7" stopIfTrue="1" operator="containsText" text="⚠">
      <formula>NOT(ISERROR(SEARCH("⚠",C37)))</formula>
    </cfRule>
    <cfRule type="containsText" dxfId="57" priority="8" stopIfTrue="1" operator="containsText" text="✔">
      <formula>NOT(ISERROR(SEARCH("✔",C37)))</formula>
    </cfRule>
  </conditionalFormatting>
  <conditionalFormatting sqref="C43:D43">
    <cfRule type="containsText" dxfId="56" priority="9" stopIfTrue="1" operator="containsText" text="VERDE">
      <formula>NOT(ISERROR(SEARCH("VERDE",C43)))</formula>
    </cfRule>
    <cfRule type="containsText" dxfId="55" priority="10" stopIfTrue="1" operator="containsText" text="META CUMPLIDA">
      <formula>NOT(ISERROR(SEARCH("META CUMPLIDA",C43)))</formula>
    </cfRule>
    <cfRule type="containsText" dxfId="54" priority="11" stopIfTrue="1" operator="containsText" text="AMARILLO">
      <formula>NOT(ISERROR(SEARCH("AMARILLO",C43)))</formula>
    </cfRule>
    <cfRule type="containsText" dxfId="53" priority="12" stopIfTrue="1" operator="containsText" text="ROJO">
      <formula>NOT(ISERROR(SEARCH("ROJO",C43)))</formula>
    </cfRule>
  </conditionalFormatting>
  <conditionalFormatting sqref="C55:H55">
    <cfRule type="containsText" dxfId="52" priority="13" stopIfTrue="1" operator="containsText" text="⚠">
      <formula>NOT(ISERROR(SEARCH("⚠",C55)))</formula>
    </cfRule>
    <cfRule type="containsText" dxfId="51" priority="14" stopIfTrue="1" operator="containsText" text="✔">
      <formula>NOT(ISERROR(SEARCH("✔",C55)))</formula>
    </cfRule>
  </conditionalFormatting>
  <conditionalFormatting sqref="F58:F65">
    <cfRule type="containsText" dxfId="50" priority="15" stopIfTrue="1" operator="containsText" text="REEMPLAZAR">
      <formula>NOT(ISERROR(SEARCH("REEMPLAZAR",F58)))</formula>
    </cfRule>
    <cfRule type="containsText" dxfId="49" priority="16" stopIfTrue="1" operator="containsText" text="EN RIESGO">
      <formula>NOT(ISERROR(SEARCH("EN RIESGO",F58)))</formula>
    </cfRule>
    <cfRule type="containsText" dxfId="48" priority="17" stopIfTrue="1" operator="containsText" text="APORTA">
      <formula>NOT(ISERROR(SEARCH("APORTA",F58)))</formula>
    </cfRule>
  </conditionalFormatting>
  <conditionalFormatting sqref="F68:F75">
    <cfRule type="containsText" dxfId="47" priority="18" stopIfTrue="1" operator="containsText" text="REEMPLAZAR">
      <formula>NOT(ISERROR(SEARCH("REEMPLAZAR",F68)))</formula>
    </cfRule>
    <cfRule type="containsText" dxfId="46" priority="19" stopIfTrue="1" operator="containsText" text="EN RIESGO">
      <formula>NOT(ISERROR(SEARCH("EN RIESGO",F68)))</formula>
    </cfRule>
    <cfRule type="containsText" dxfId="45" priority="20" stopIfTrue="1" operator="containsText" text="APORTA">
      <formula>NOT(ISERROR(SEARCH("APORTA",F68)))</formula>
    </cfRule>
  </conditionalFormatting>
  <dataValidations count="4">
    <dataValidation type="whole" operator="greaterThanOrEqual" allowBlank="1" showInputMessage="1" showErrorMessage="1" errorTitle="Casos" error="Escribe un número entero mayor o igual a 0." sqref="C13" xr:uid="{4FE71D7C-378D-4DF1-ABDF-BEA5B28EB240}">
      <formula1>0</formula1>
    </dataValidation>
    <dataValidation type="whole" operator="greaterThanOrEqual" allowBlank="1" showInputMessage="1" showErrorMessage="1" errorTitle="Casos" error="Escribe un número entero mayor o igual a 0." sqref="C18:H18" xr:uid="{5563DD7F-382D-4D21-B964-CDDE000556D1}">
      <formula1>0</formula1>
    </dataValidation>
    <dataValidation type="decimal" allowBlank="1" showInputMessage="1" showErrorMessage="1" errorTitle="Porcentaje" error="Escribe un porcentaje entre 0 % y 100 % (ej. 40 %)." sqref="C21:H21" xr:uid="{B62527EE-4CAA-4888-96F7-F1338222F97E}">
      <formula1>0</formula1>
      <formula2>1</formula2>
    </dataValidation>
    <dataValidation type="decimal" allowBlank="1" showInputMessage="1" showErrorMessage="1" errorTitle="Porcentaje" error="Escribe un porcentaje entre 0 % y 100 % (ej. 40 %)." sqref="C29:I36" xr:uid="{90EA22FA-1961-4C04-BD5C-22C3FF98BBB0}">
      <formula1>0</formula1>
      <formula2>1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AAA92D8-88EE-4C2A-9A94-E95B4995771A}">
          <x14:formula1>
            <xm:f>Parametros!$B$19:$B$20</xm:f>
          </x14:formula1>
          <xm:sqref>C6</xm:sqref>
        </x14:dataValidation>
        <x14:dataValidation type="list" allowBlank="1" showInputMessage="1" showErrorMessage="1" xr:uid="{CAB61DF7-7566-46D8-8871-7D198E531536}">
          <x14:formula1>
            <xm:f>Parametros!$C$19:$C$21</xm:f>
          </x14:formula1>
          <xm:sqref>J29:J36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FB8B-1C05-43F2-8EAE-12262DAFCDA4}">
  <sheetPr>
    <tabColor rgb="FFA6A6A6"/>
  </sheetPr>
  <dimension ref="A1:N133"/>
  <sheetViews>
    <sheetView showGridLines="0" zoomScale="90" zoomScaleNormal="90" workbookViewId="0"/>
  </sheetViews>
  <sheetFormatPr baseColWidth="10" defaultRowHeight="13.2" x14ac:dyDescent="0.25"/>
  <cols>
    <col min="1" max="1" width="8.77734375" style="7" customWidth="1"/>
    <col min="2" max="2" width="46.77734375" style="7" customWidth="1"/>
    <col min="3" max="8" width="16.77734375" style="7" customWidth="1"/>
    <col min="9" max="9" width="14.77734375" style="7" customWidth="1"/>
    <col min="10" max="10" width="13.77734375" style="7" customWidth="1"/>
    <col min="11" max="11" width="16.77734375" style="7" customWidth="1"/>
    <col min="12" max="12" width="13.77734375" style="7" customWidth="1"/>
    <col min="13" max="13" width="42.77734375" style="7" customWidth="1"/>
    <col min="14" max="14" width="24.77734375" style="7" customWidth="1"/>
    <col min="15" max="16384" width="11.5546875" style="7"/>
  </cols>
  <sheetData>
    <row r="1" spans="1:14" ht="21" x14ac:dyDescent="0.25">
      <c r="A1" s="8" t="str">
        <f>"Suficiencia del indicador: "&amp;IF(C5="","(sin nombre)",C5)</f>
        <v>Suficiencia del indicador: (sin nombre)</v>
      </c>
    </row>
    <row r="2" spans="1:14" x14ac:dyDescent="0.25">
      <c r="A2" s="7" t="s">
        <v>171</v>
      </c>
    </row>
    <row r="3" spans="1:14" x14ac:dyDescent="0.25">
      <c r="A3" s="11" t="s">
        <v>32</v>
      </c>
    </row>
    <row r="4" spans="1:14" ht="22.05" customHeight="1" x14ac:dyDescent="0.25">
      <c r="A4" s="3" t="s">
        <v>33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B5" s="12" t="s">
        <v>41</v>
      </c>
      <c r="C5" s="13"/>
      <c r="E5" s="7" t="s">
        <v>42</v>
      </c>
    </row>
    <row r="6" spans="1:14" x14ac:dyDescent="0.25">
      <c r="B6" s="12" t="s">
        <v>24</v>
      </c>
      <c r="C6" s="13"/>
      <c r="E6" s="7" t="str">
        <f>IF(C6="","⚠ Elige una opción de la lista.","¿Es mejor que el indicador suba o que baje?")</f>
        <v>⚠ Elige una opción de la lista.</v>
      </c>
    </row>
    <row r="7" spans="1:14" x14ac:dyDescent="0.25">
      <c r="B7" s="12" t="s">
        <v>40</v>
      </c>
      <c r="C7" s="13"/>
      <c r="E7" s="7" t="s">
        <v>43</v>
      </c>
    </row>
    <row r="8" spans="1:14" x14ac:dyDescent="0.25">
      <c r="B8" s="12" t="s">
        <v>39</v>
      </c>
      <c r="C8" s="15"/>
      <c r="D8" s="7" t="str">
        <f t="shared" ref="D8:D10" si="0">IF($C$7="","",$C$7)</f>
        <v/>
      </c>
      <c r="E8" s="7" t="str">
        <f>IF(AND(C7="%",N(C8)&gt;0,N(C8)&lt;1,N(C9)&lt;1),"⚠ ¿Escribiste el símbolo %? Si tu valor es 2,8 %, escribe solo 2,8.","Valor real de hoy. Escribe solo el número, sin el símbolo %.")</f>
        <v>Valor real de hoy. Escribe solo el número, sin el símbolo %.</v>
      </c>
    </row>
    <row r="9" spans="1:14" x14ac:dyDescent="0.25">
      <c r="B9" s="12" t="s">
        <v>38</v>
      </c>
      <c r="C9" s="15"/>
      <c r="D9" s="7" t="str">
        <f t="shared" si="0"/>
        <v/>
      </c>
      <c r="E9" s="7" t="s">
        <v>44</v>
      </c>
    </row>
    <row r="10" spans="1:14" x14ac:dyDescent="0.25">
      <c r="B10" s="12" t="s">
        <v>37</v>
      </c>
      <c r="C10" s="15"/>
      <c r="D10" s="7" t="str">
        <f t="shared" si="0"/>
        <v/>
      </c>
      <c r="E10" s="7" t="s">
        <v>45</v>
      </c>
    </row>
    <row r="11" spans="1:14" x14ac:dyDescent="0.25">
      <c r="B11" s="12" t="s">
        <v>36</v>
      </c>
      <c r="C11" s="18">
        <f>IF(C8="",0,ABS(C131-C8))</f>
        <v>0</v>
      </c>
      <c r="D11" s="7" t="str">
        <f t="shared" ref="D11:D12" si="1">$C$130</f>
        <v>puntos</v>
      </c>
      <c r="E11" s="7" t="s">
        <v>46</v>
      </c>
    </row>
    <row r="12" spans="1:14" x14ac:dyDescent="0.25">
      <c r="B12" s="12" t="s">
        <v>35</v>
      </c>
      <c r="C12" s="18">
        <f>IF(OR(C6="",C8="",C9=""),0,MAX(0,IF(C6="Sube es mejor",C9-C8,C8-C9)))</f>
        <v>0</v>
      </c>
      <c r="D12" s="7" t="str">
        <f t="shared" si="1"/>
        <v>puntos</v>
      </c>
      <c r="E12" s="7" t="s">
        <v>47</v>
      </c>
    </row>
    <row r="13" spans="1:14" x14ac:dyDescent="0.25">
      <c r="B13" s="12" t="s">
        <v>34</v>
      </c>
      <c r="C13" s="17"/>
      <c r="E13" s="7" t="s">
        <v>48</v>
      </c>
    </row>
    <row r="15" spans="1:14" ht="22.05" customHeight="1" x14ac:dyDescent="0.25">
      <c r="A15" s="3" t="s">
        <v>49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9.95" customHeight="1" x14ac:dyDescent="0.25">
      <c r="B16" s="4" t="s">
        <v>50</v>
      </c>
      <c r="C16" s="4" t="s">
        <v>51</v>
      </c>
      <c r="D16" s="4" t="s">
        <v>52</v>
      </c>
      <c r="E16" s="4" t="s">
        <v>53</v>
      </c>
      <c r="F16" s="4" t="s">
        <v>54</v>
      </c>
      <c r="G16" s="4" t="s">
        <v>55</v>
      </c>
      <c r="H16" s="4" t="s">
        <v>56</v>
      </c>
    </row>
    <row r="17" spans="1:14" ht="42" customHeight="1" x14ac:dyDescent="0.25">
      <c r="B17" s="12" t="s">
        <v>62</v>
      </c>
      <c r="C17" s="19"/>
      <c r="D17" s="19"/>
      <c r="E17" s="19"/>
      <c r="F17" s="19"/>
      <c r="G17" s="19"/>
      <c r="H17" s="19"/>
    </row>
    <row r="18" spans="1:14" x14ac:dyDescent="0.25">
      <c r="B18" s="12" t="s">
        <v>61</v>
      </c>
      <c r="C18" s="17"/>
      <c r="D18" s="17"/>
      <c r="E18" s="17"/>
      <c r="F18" s="17"/>
      <c r="G18" s="17"/>
      <c r="H18" s="17"/>
    </row>
    <row r="19" spans="1:14" x14ac:dyDescent="0.25">
      <c r="B19" s="12" t="s">
        <v>60</v>
      </c>
      <c r="C19" s="21">
        <f t="shared" ref="C19:H19" si="2">IF(OR(N(C18)=0,N($C$13)=0),0,C18/$C$13)</f>
        <v>0</v>
      </c>
      <c r="D19" s="21">
        <f t="shared" si="2"/>
        <v>0</v>
      </c>
      <c r="E19" s="21">
        <f t="shared" si="2"/>
        <v>0</v>
      </c>
      <c r="F19" s="21">
        <f t="shared" si="2"/>
        <v>0</v>
      </c>
      <c r="G19" s="21">
        <f t="shared" si="2"/>
        <v>0</v>
      </c>
      <c r="H19" s="21">
        <f t="shared" si="2"/>
        <v>0</v>
      </c>
    </row>
    <row r="20" spans="1:14" x14ac:dyDescent="0.25">
      <c r="B20" s="12" t="s">
        <v>59</v>
      </c>
      <c r="C20" s="22">
        <f t="shared" ref="C20:H20" si="3">IF(SUM($C$19:$H$19)=0,0,C19/SUM($C$19:$H$19))</f>
        <v>0</v>
      </c>
      <c r="D20" s="22">
        <f t="shared" si="3"/>
        <v>0</v>
      </c>
      <c r="E20" s="22">
        <f t="shared" si="3"/>
        <v>0</v>
      </c>
      <c r="F20" s="22">
        <f t="shared" si="3"/>
        <v>0</v>
      </c>
      <c r="G20" s="22">
        <f t="shared" si="3"/>
        <v>0</v>
      </c>
      <c r="H20" s="22">
        <f t="shared" si="3"/>
        <v>0</v>
      </c>
    </row>
    <row r="21" spans="1:14" x14ac:dyDescent="0.25">
      <c r="B21" s="12" t="s">
        <v>58</v>
      </c>
      <c r="C21" s="23"/>
      <c r="D21" s="23"/>
      <c r="E21" s="23"/>
      <c r="F21" s="23"/>
      <c r="G21" s="23"/>
      <c r="H21" s="23"/>
    </row>
    <row r="22" spans="1:14" x14ac:dyDescent="0.25">
      <c r="B22" s="12" t="s">
        <v>57</v>
      </c>
      <c r="C22" s="24">
        <f t="shared" ref="C22:H22" si="4">IF(C21="",C20,C21)</f>
        <v>0</v>
      </c>
      <c r="D22" s="24">
        <f t="shared" si="4"/>
        <v>0</v>
      </c>
      <c r="E22" s="24">
        <f t="shared" si="4"/>
        <v>0</v>
      </c>
      <c r="F22" s="24">
        <f t="shared" si="4"/>
        <v>0</v>
      </c>
      <c r="G22" s="24">
        <f t="shared" si="4"/>
        <v>0</v>
      </c>
      <c r="H22" s="24">
        <f t="shared" si="4"/>
        <v>0</v>
      </c>
    </row>
    <row r="23" spans="1:14" ht="55.95" customHeight="1" x14ac:dyDescent="0.25">
      <c r="B23" s="12" t="s">
        <v>64</v>
      </c>
      <c r="C23" s="19"/>
      <c r="D23" s="19"/>
      <c r="E23" s="19"/>
      <c r="F23" s="19"/>
      <c r="G23" s="19"/>
      <c r="H23" s="19"/>
    </row>
    <row r="24" spans="1:14" x14ac:dyDescent="0.25">
      <c r="B24" s="12" t="s">
        <v>63</v>
      </c>
      <c r="C24" s="7" t="str">
        <f>IF(SUM(C22:H22)=0,"⚠ Aún no hay dolores con casos.",IF(ABS(SUM(C22:H22)-1)&lt;0.0005,"✔ La atribución suma 100 %.","⚠ La atribución suma "&amp;FIXED(SUM(C22:H22)*100,1)&amp;" %; debe sumar 100 %. Revisa la fila 21."))</f>
        <v>⚠ Aún no hay dolores con casos.</v>
      </c>
    </row>
    <row r="25" spans="1:14" x14ac:dyDescent="0.25">
      <c r="C25" s="11" t="str">
        <f>"La suma de prevalencias es "&amp;FIXED(SUM(C19:H19)*100,0)&amp;" %. Puede pasar de 100 % porque un caso puede tener varios dolores. Es normal."</f>
        <v>La suma de prevalencias es 0 %. Puede pasar de 100 % porque un caso puede tener varios dolores. Es normal.</v>
      </c>
    </row>
    <row r="27" spans="1:14" ht="22.05" customHeight="1" x14ac:dyDescent="0.25">
      <c r="A27" s="3" t="s">
        <v>65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43.95" customHeight="1" x14ac:dyDescent="0.25">
      <c r="A28" s="4" t="s">
        <v>66</v>
      </c>
      <c r="B28" s="4" t="s">
        <v>67</v>
      </c>
      <c r="C28" s="4" t="str">
        <f t="shared" ref="C28:H28" si="5">IF(C17="","Dolor "&amp;(COLUMN()-2),C17)</f>
        <v>Dolor 1</v>
      </c>
      <c r="D28" s="4" t="str">
        <f t="shared" si="5"/>
        <v>Dolor 2</v>
      </c>
      <c r="E28" s="4" t="str">
        <f t="shared" si="5"/>
        <v>Dolor 3</v>
      </c>
      <c r="F28" s="4" t="str">
        <f t="shared" si="5"/>
        <v>Dolor 4</v>
      </c>
      <c r="G28" s="4" t="str">
        <f t="shared" si="5"/>
        <v>Dolor 5</v>
      </c>
      <c r="H28" s="4" t="str">
        <f t="shared" si="5"/>
        <v>Dolor 6</v>
      </c>
      <c r="I28" s="4" t="s">
        <v>68</v>
      </c>
      <c r="J28" s="4" t="s">
        <v>25</v>
      </c>
      <c r="K28" s="4" t="s">
        <v>69</v>
      </c>
      <c r="L28" s="4" t="s">
        <v>70</v>
      </c>
      <c r="M28" s="4" t="s">
        <v>71</v>
      </c>
      <c r="N28" s="4" t="s">
        <v>63</v>
      </c>
    </row>
    <row r="29" spans="1:14" ht="40.049999999999997" customHeight="1" x14ac:dyDescent="0.25">
      <c r="A29" s="25" t="s">
        <v>72</v>
      </c>
      <c r="B29" s="19"/>
      <c r="C29" s="27"/>
      <c r="D29" s="27"/>
      <c r="E29" s="27"/>
      <c r="F29" s="27"/>
      <c r="G29" s="27"/>
      <c r="H29" s="27"/>
      <c r="I29" s="27"/>
      <c r="J29" s="28"/>
      <c r="K29" s="28"/>
      <c r="L29" s="29"/>
      <c r="M29" s="19"/>
      <c r="N29" s="14" t="str">
        <f t="shared" ref="N29:N36" si="6">IF(B29="","",IF(I29="","⚠ Falta % de ejecución",IF(M29="","⚠ Sin respaldo","✔ OK")))</f>
        <v/>
      </c>
    </row>
    <row r="30" spans="1:14" ht="40.049999999999997" customHeight="1" x14ac:dyDescent="0.25">
      <c r="A30" s="25" t="s">
        <v>73</v>
      </c>
      <c r="B30" s="19"/>
      <c r="C30" s="27"/>
      <c r="D30" s="27"/>
      <c r="E30" s="27"/>
      <c r="F30" s="27"/>
      <c r="G30" s="27"/>
      <c r="H30" s="27"/>
      <c r="I30" s="27"/>
      <c r="J30" s="28"/>
      <c r="K30" s="28"/>
      <c r="L30" s="29"/>
      <c r="M30" s="19"/>
      <c r="N30" s="14" t="str">
        <f t="shared" si="6"/>
        <v/>
      </c>
    </row>
    <row r="31" spans="1:14" ht="40.049999999999997" customHeight="1" x14ac:dyDescent="0.25">
      <c r="A31" s="25" t="s">
        <v>74</v>
      </c>
      <c r="B31" s="19"/>
      <c r="C31" s="27"/>
      <c r="D31" s="27"/>
      <c r="E31" s="27"/>
      <c r="F31" s="27"/>
      <c r="G31" s="27"/>
      <c r="H31" s="27"/>
      <c r="I31" s="27"/>
      <c r="J31" s="28"/>
      <c r="K31" s="28"/>
      <c r="L31" s="29"/>
      <c r="M31" s="19"/>
      <c r="N31" s="14" t="str">
        <f t="shared" si="6"/>
        <v/>
      </c>
    </row>
    <row r="32" spans="1:14" ht="40.049999999999997" customHeight="1" x14ac:dyDescent="0.25">
      <c r="A32" s="25" t="s">
        <v>75</v>
      </c>
      <c r="B32" s="19"/>
      <c r="C32" s="27"/>
      <c r="D32" s="27"/>
      <c r="E32" s="27"/>
      <c r="F32" s="27"/>
      <c r="G32" s="27"/>
      <c r="H32" s="27"/>
      <c r="I32" s="27"/>
      <c r="J32" s="28"/>
      <c r="K32" s="28"/>
      <c r="L32" s="29"/>
      <c r="M32" s="19"/>
      <c r="N32" s="14" t="str">
        <f t="shared" si="6"/>
        <v/>
      </c>
    </row>
    <row r="33" spans="1:14" ht="40.049999999999997" customHeight="1" x14ac:dyDescent="0.25">
      <c r="A33" s="25" t="s">
        <v>76</v>
      </c>
      <c r="B33" s="19"/>
      <c r="C33" s="27"/>
      <c r="D33" s="27"/>
      <c r="E33" s="27"/>
      <c r="F33" s="27"/>
      <c r="G33" s="27"/>
      <c r="H33" s="27"/>
      <c r="I33" s="27"/>
      <c r="J33" s="28"/>
      <c r="K33" s="28"/>
      <c r="L33" s="29"/>
      <c r="M33" s="19"/>
      <c r="N33" s="14" t="str">
        <f t="shared" si="6"/>
        <v/>
      </c>
    </row>
    <row r="34" spans="1:14" ht="40.049999999999997" customHeight="1" x14ac:dyDescent="0.25">
      <c r="A34" s="25" t="s">
        <v>77</v>
      </c>
      <c r="B34" s="19"/>
      <c r="C34" s="27"/>
      <c r="D34" s="27"/>
      <c r="E34" s="27"/>
      <c r="F34" s="27"/>
      <c r="G34" s="27"/>
      <c r="H34" s="27"/>
      <c r="I34" s="27"/>
      <c r="J34" s="28"/>
      <c r="K34" s="28"/>
      <c r="L34" s="29"/>
      <c r="M34" s="19"/>
      <c r="N34" s="14" t="str">
        <f t="shared" si="6"/>
        <v/>
      </c>
    </row>
    <row r="35" spans="1:14" ht="40.049999999999997" customHeight="1" x14ac:dyDescent="0.25">
      <c r="A35" s="25" t="s">
        <v>78</v>
      </c>
      <c r="B35" s="19"/>
      <c r="C35" s="27"/>
      <c r="D35" s="27"/>
      <c r="E35" s="27"/>
      <c r="F35" s="27"/>
      <c r="G35" s="27"/>
      <c r="H35" s="27"/>
      <c r="I35" s="27"/>
      <c r="J35" s="28"/>
      <c r="K35" s="28"/>
      <c r="L35" s="29"/>
      <c r="M35" s="19"/>
      <c r="N35" s="14" t="str">
        <f t="shared" si="6"/>
        <v/>
      </c>
    </row>
    <row r="36" spans="1:14" ht="40.049999999999997" customHeight="1" x14ac:dyDescent="0.25">
      <c r="A36" s="25" t="s">
        <v>79</v>
      </c>
      <c r="B36" s="19"/>
      <c r="C36" s="27"/>
      <c r="D36" s="27"/>
      <c r="E36" s="27"/>
      <c r="F36" s="27"/>
      <c r="G36" s="27"/>
      <c r="H36" s="27"/>
      <c r="I36" s="27"/>
      <c r="J36" s="28"/>
      <c r="K36" s="28"/>
      <c r="L36" s="29"/>
      <c r="M36" s="19"/>
      <c r="N36" s="14" t="str">
        <f t="shared" si="6"/>
        <v/>
      </c>
    </row>
    <row r="37" spans="1:14" x14ac:dyDescent="0.25">
      <c r="B37" s="12" t="s">
        <v>63</v>
      </c>
      <c r="C37" s="7" t="str">
        <f>IF(COUNTIF(B29:B36,"?*")=0,"⚠ Aún no hay iniciativas.",IF(COUNTIF(N29:N36,"⚠*")&gt;0,"⚠ Revisa la columna Revisión (N): faltan datos.","✔ Iniciativas completas."))</f>
        <v>⚠ Aún no hay iniciativas.</v>
      </c>
    </row>
    <row r="39" spans="1:14" ht="22.05" customHeight="1" x14ac:dyDescent="0.25">
      <c r="A39" s="3" t="s">
        <v>80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31.95" customHeight="1" x14ac:dyDescent="0.25">
      <c r="B40" s="4" t="s">
        <v>81</v>
      </c>
      <c r="C40" s="4" t="s">
        <v>82</v>
      </c>
      <c r="D40" s="4" t="s">
        <v>83</v>
      </c>
    </row>
    <row r="41" spans="1:14" x14ac:dyDescent="0.25">
      <c r="B41" s="12" t="s">
        <v>86</v>
      </c>
      <c r="C41" s="31">
        <f>SUM(C53:H53)</f>
        <v>0</v>
      </c>
      <c r="D41" s="31">
        <f>SUM(C54:H54)</f>
        <v>0</v>
      </c>
      <c r="E41" s="7" t="str">
        <f>$C$130</f>
        <v>puntos</v>
      </c>
    </row>
    <row r="42" spans="1:14" ht="17.399999999999999" x14ac:dyDescent="0.25">
      <c r="B42" s="12" t="s">
        <v>85</v>
      </c>
      <c r="C42" s="32">
        <f t="shared" ref="C42:D42" si="7">IF($C$12=0,0,C41/$C$12)</f>
        <v>0</v>
      </c>
      <c r="D42" s="32">
        <f t="shared" si="7"/>
        <v>0</v>
      </c>
    </row>
    <row r="43" spans="1:14" x14ac:dyDescent="0.25">
      <c r="B43" s="12" t="s">
        <v>84</v>
      </c>
      <c r="C43" s="33" t="str">
        <f>IF($C$8="","SIN DATOS",IF($C$12=0,"META CUMPLIDA",LOOKUP(C42,Semaforo_Desde,Semaforo_Color)))</f>
        <v>SIN DATOS</v>
      </c>
      <c r="D43" s="33" t="str">
        <f>IF($C$8="","SIN DATOS",IF($C$12=0,"META CUMPLIDA",LOOKUP(D42,Semaforo_Desde,Semaforo_Color)))</f>
        <v>SIN DATOS</v>
      </c>
    </row>
    <row r="44" spans="1:14" x14ac:dyDescent="0.25">
      <c r="B44" s="12" t="s">
        <v>90</v>
      </c>
      <c r="C44" s="31" t="str">
        <f t="shared" ref="C44:D44" si="8">IF($C$8="","",IF($C$6="Sube es mejor",$C$8+C41,$C$8-C41))</f>
        <v/>
      </c>
      <c r="D44" s="31" t="str">
        <f t="shared" si="8"/>
        <v/>
      </c>
      <c r="E44" s="7" t="str">
        <f>IF($C$7="","",$C$7)</f>
        <v/>
      </c>
    </row>
    <row r="45" spans="1:14" x14ac:dyDescent="0.25">
      <c r="B45" s="12" t="s">
        <v>89</v>
      </c>
      <c r="C45" s="31">
        <f t="shared" ref="C45:D45" si="9">MAX(0,$C$12-C41)</f>
        <v>0</v>
      </c>
      <c r="D45" s="31">
        <f t="shared" si="9"/>
        <v>0</v>
      </c>
      <c r="E45" s="7" t="str">
        <f>$C$130</f>
        <v>puntos</v>
      </c>
    </row>
    <row r="46" spans="1:14" x14ac:dyDescent="0.25">
      <c r="B46" s="12" t="s">
        <v>88</v>
      </c>
      <c r="C46" s="7" t="str">
        <f>IF($C$132=0,"",$C$133&amp;" · explica el "&amp;FIXED(INDEX(C22:H22,$C$132)*100,0)&amp;" % del problema · resuelto (realista): "&amp;FIXED(INDEX(C52:H52,$C$132)*100,0)&amp;" %")</f>
        <v/>
      </c>
    </row>
    <row r="47" spans="1:14" x14ac:dyDescent="0.25">
      <c r="B47" s="12" t="s">
        <v>87</v>
      </c>
      <c r="C47" s="12" t="str">
        <f>IF($C$8="","Completa el Paso 1 para ver el resultado.",IF($C$12=0,"La meta ya se cumple hoy: no hay brecha que cerrar.","Si todas las iniciativas se cumplen al 100 %, cubres el "&amp;FIXED(C42*100,0)&amp;" % de la brecha. Con la ejecución realista cubres el "&amp;FIXED(D42*100,0)&amp;" %."))</f>
        <v>Completa el Paso 1 para ver el resultado.</v>
      </c>
    </row>
    <row r="49" spans="1:8" ht="42" customHeight="1" x14ac:dyDescent="0.25">
      <c r="B49" s="4" t="s">
        <v>91</v>
      </c>
      <c r="C49" s="4" t="str">
        <f t="shared" ref="C49:H49" si="10">IF(C17="","Dolor "&amp;(COLUMN()-2),C17)</f>
        <v>Dolor 1</v>
      </c>
      <c r="D49" s="4" t="str">
        <f t="shared" si="10"/>
        <v>Dolor 2</v>
      </c>
      <c r="E49" s="4" t="str">
        <f t="shared" si="10"/>
        <v>Dolor 3</v>
      </c>
      <c r="F49" s="4" t="str">
        <f t="shared" si="10"/>
        <v>Dolor 4</v>
      </c>
      <c r="G49" s="4" t="str">
        <f t="shared" si="10"/>
        <v>Dolor 5</v>
      </c>
      <c r="H49" s="4" t="str">
        <f t="shared" si="10"/>
        <v>Dolor 6</v>
      </c>
    </row>
    <row r="50" spans="1:8" x14ac:dyDescent="0.25">
      <c r="B50" s="12" t="s">
        <v>57</v>
      </c>
      <c r="C50" s="34">
        <f t="shared" ref="C50:H50" si="11">C22</f>
        <v>0</v>
      </c>
      <c r="D50" s="34">
        <f t="shared" si="11"/>
        <v>0</v>
      </c>
      <c r="E50" s="34">
        <f t="shared" si="11"/>
        <v>0</v>
      </c>
      <c r="F50" s="34">
        <f t="shared" si="11"/>
        <v>0</v>
      </c>
      <c r="G50" s="34">
        <f t="shared" si="11"/>
        <v>0</v>
      </c>
      <c r="H50" s="34">
        <f t="shared" si="11"/>
        <v>0</v>
      </c>
    </row>
    <row r="51" spans="1:8" x14ac:dyDescent="0.25">
      <c r="B51" s="12" t="s">
        <v>95</v>
      </c>
      <c r="C51" s="34">
        <f t="shared" ref="C51:H51" si="12">C89</f>
        <v>0</v>
      </c>
      <c r="D51" s="34">
        <f t="shared" si="12"/>
        <v>0</v>
      </c>
      <c r="E51" s="34">
        <f t="shared" si="12"/>
        <v>0</v>
      </c>
      <c r="F51" s="34">
        <f t="shared" si="12"/>
        <v>0</v>
      </c>
      <c r="G51" s="34">
        <f t="shared" si="12"/>
        <v>0</v>
      </c>
      <c r="H51" s="34">
        <f t="shared" si="12"/>
        <v>0</v>
      </c>
    </row>
    <row r="52" spans="1:8" x14ac:dyDescent="0.25">
      <c r="B52" s="12" t="s">
        <v>94</v>
      </c>
      <c r="C52" s="34">
        <f t="shared" ref="C52:H52" si="13">C101</f>
        <v>0</v>
      </c>
      <c r="D52" s="34">
        <f t="shared" si="13"/>
        <v>0</v>
      </c>
      <c r="E52" s="34">
        <f t="shared" si="13"/>
        <v>0</v>
      </c>
      <c r="F52" s="34">
        <f t="shared" si="13"/>
        <v>0</v>
      </c>
      <c r="G52" s="34">
        <f t="shared" si="13"/>
        <v>0</v>
      </c>
      <c r="H52" s="34">
        <f t="shared" si="13"/>
        <v>0</v>
      </c>
    </row>
    <row r="53" spans="1:8" x14ac:dyDescent="0.25">
      <c r="B53" s="12" t="s">
        <v>93</v>
      </c>
      <c r="C53" s="31">
        <f t="shared" ref="C53:H53" si="14">$C$11*C50*C51</f>
        <v>0</v>
      </c>
      <c r="D53" s="31">
        <f t="shared" si="14"/>
        <v>0</v>
      </c>
      <c r="E53" s="31">
        <f t="shared" si="14"/>
        <v>0</v>
      </c>
      <c r="F53" s="31">
        <f t="shared" si="14"/>
        <v>0</v>
      </c>
      <c r="G53" s="31">
        <f t="shared" si="14"/>
        <v>0</v>
      </c>
      <c r="H53" s="31">
        <f t="shared" si="14"/>
        <v>0</v>
      </c>
    </row>
    <row r="54" spans="1:8" x14ac:dyDescent="0.25">
      <c r="B54" s="12" t="s">
        <v>92</v>
      </c>
      <c r="C54" s="31">
        <f t="shared" ref="C54:H54" si="15">$C$11*C50*C52</f>
        <v>0</v>
      </c>
      <c r="D54" s="31">
        <f t="shared" si="15"/>
        <v>0</v>
      </c>
      <c r="E54" s="31">
        <f t="shared" si="15"/>
        <v>0</v>
      </c>
      <c r="F54" s="31">
        <f t="shared" si="15"/>
        <v>0</v>
      </c>
      <c r="G54" s="31">
        <f t="shared" si="15"/>
        <v>0</v>
      </c>
      <c r="H54" s="31">
        <f t="shared" si="15"/>
        <v>0</v>
      </c>
    </row>
    <row r="55" spans="1:8" x14ac:dyDescent="0.25">
      <c r="B55" s="12" t="s">
        <v>96</v>
      </c>
      <c r="C55" s="35" t="str">
        <f>IF(C17="","",IF(AND(C50&gt;Cobertura_Atrib_Min,C52&lt;Cobertura_Resuelto_Min),"⚠ SIN COBERTURA",IF(C52&gt;=Cobertura_Resuelto_Min,"✔ Cubierto","○ Peso bajo")))</f>
        <v/>
      </c>
      <c r="D55" s="35" t="str">
        <f>IF(D17="","",IF(AND(D50&gt;Cobertura_Atrib_Min,D52&lt;Cobertura_Resuelto_Min),"⚠ SIN COBERTURA",IF(D52&gt;=Cobertura_Resuelto_Min,"✔ Cubierto","○ Peso bajo")))</f>
        <v/>
      </c>
      <c r="E55" s="35" t="str">
        <f>IF(E17="","",IF(AND(E50&gt;Cobertura_Atrib_Min,E52&lt;Cobertura_Resuelto_Min),"⚠ SIN COBERTURA",IF(E52&gt;=Cobertura_Resuelto_Min,"✔ Cubierto","○ Peso bajo")))</f>
        <v/>
      </c>
      <c r="F55" s="35" t="str">
        <f>IF(F17="","",IF(AND(F50&gt;Cobertura_Atrib_Min,F52&lt;Cobertura_Resuelto_Min),"⚠ SIN COBERTURA",IF(F52&gt;=Cobertura_Resuelto_Min,"✔ Cubierto","○ Peso bajo")))</f>
        <v/>
      </c>
      <c r="G55" s="35" t="str">
        <f>IF(G17="","",IF(AND(G50&gt;Cobertura_Atrib_Min,G52&lt;Cobertura_Resuelto_Min),"⚠ SIN COBERTURA",IF(G52&gt;=Cobertura_Resuelto_Min,"✔ Cubierto","○ Peso bajo")))</f>
        <v/>
      </c>
      <c r="H55" s="35" t="str">
        <f>IF(H17="","",IF(AND(H50&gt;Cobertura_Atrib_Min,H52&lt;Cobertura_Resuelto_Min),"⚠ SIN COBERTURA",IF(H52&gt;=Cobertura_Resuelto_Min,"✔ Cubierto","○ Peso bajo")))</f>
        <v/>
      </c>
    </row>
    <row r="57" spans="1:8" ht="31.95" customHeight="1" x14ac:dyDescent="0.25">
      <c r="A57" s="4" t="s">
        <v>66</v>
      </c>
      <c r="B57" s="4" t="s">
        <v>97</v>
      </c>
      <c r="C57" s="4" t="s">
        <v>98</v>
      </c>
      <c r="D57" s="4" t="s">
        <v>99</v>
      </c>
      <c r="E57" s="4" t="s">
        <v>100</v>
      </c>
      <c r="F57" s="4" t="s">
        <v>101</v>
      </c>
      <c r="G57" s="4" t="s">
        <v>87</v>
      </c>
    </row>
    <row r="58" spans="1:8" x14ac:dyDescent="0.25">
      <c r="A58" s="25" t="s">
        <v>72</v>
      </c>
      <c r="B58" s="14" t="str">
        <f t="shared" ref="B58:B65" si="16">IF(B29="","",B29)</f>
        <v/>
      </c>
      <c r="C58" s="31" t="str">
        <f t="shared" ref="C58:C65" si="17">IF($B29="","",K104)</f>
        <v/>
      </c>
      <c r="D58" s="34" t="str">
        <f t="shared" ref="D58:D65" si="18">IF($B29="","",L104)</f>
        <v/>
      </c>
      <c r="E58" s="34" t="str">
        <f t="shared" ref="E58:E65" si="19">IF($B29="","",J104)</f>
        <v/>
      </c>
      <c r="F58" s="35" t="str">
        <f>IF($B29="","",IF(OR(N($I29)=0,L104&lt;Umbral_Reemplazar),"REEMPLAZAR",IF(OR($J29="Retrasada",$J29="En riesgo"),"EN RIESGO","APORTA")))</f>
        <v/>
      </c>
      <c r="G58" s="7" t="str">
        <f t="shared" ref="G58:G65" si="20">IF($B29="","","Aporta "&amp;FIXED(K104,2)&amp;" "&amp;$C$130&amp;" ("&amp;FIXED(L104*100,0)&amp;" % de la brecha). Si falla, la suficiencia baja de "&amp;FIXED($D$42*100,0)&amp;" % a "&amp;FIXED(J104*100,0)&amp;" %.")</f>
        <v/>
      </c>
    </row>
    <row r="59" spans="1:8" x14ac:dyDescent="0.25">
      <c r="A59" s="25" t="s">
        <v>73</v>
      </c>
      <c r="B59" s="14" t="str">
        <f t="shared" si="16"/>
        <v/>
      </c>
      <c r="C59" s="31" t="str">
        <f t="shared" si="17"/>
        <v/>
      </c>
      <c r="D59" s="34" t="str">
        <f t="shared" si="18"/>
        <v/>
      </c>
      <c r="E59" s="34" t="str">
        <f t="shared" si="19"/>
        <v/>
      </c>
      <c r="F59" s="35" t="str">
        <f>IF($B30="","",IF(OR(N($I30)=0,L105&lt;Umbral_Reemplazar),"REEMPLAZAR",IF(OR($J30="Retrasada",$J30="En riesgo"),"EN RIESGO","APORTA")))</f>
        <v/>
      </c>
      <c r="G59" s="7" t="str">
        <f t="shared" si="20"/>
        <v/>
      </c>
    </row>
    <row r="60" spans="1:8" x14ac:dyDescent="0.25">
      <c r="A60" s="25" t="s">
        <v>74</v>
      </c>
      <c r="B60" s="14" t="str">
        <f t="shared" si="16"/>
        <v/>
      </c>
      <c r="C60" s="31" t="str">
        <f t="shared" si="17"/>
        <v/>
      </c>
      <c r="D60" s="34" t="str">
        <f t="shared" si="18"/>
        <v/>
      </c>
      <c r="E60" s="34" t="str">
        <f t="shared" si="19"/>
        <v/>
      </c>
      <c r="F60" s="35" t="str">
        <f>IF($B31="","",IF(OR(N($I31)=0,L106&lt;Umbral_Reemplazar),"REEMPLAZAR",IF(OR($J31="Retrasada",$J31="En riesgo"),"EN RIESGO","APORTA")))</f>
        <v/>
      </c>
      <c r="G60" s="7" t="str">
        <f t="shared" si="20"/>
        <v/>
      </c>
    </row>
    <row r="61" spans="1:8" x14ac:dyDescent="0.25">
      <c r="A61" s="25" t="s">
        <v>75</v>
      </c>
      <c r="B61" s="14" t="str">
        <f t="shared" si="16"/>
        <v/>
      </c>
      <c r="C61" s="31" t="str">
        <f t="shared" si="17"/>
        <v/>
      </c>
      <c r="D61" s="34" t="str">
        <f t="shared" si="18"/>
        <v/>
      </c>
      <c r="E61" s="34" t="str">
        <f t="shared" si="19"/>
        <v/>
      </c>
      <c r="F61" s="35" t="str">
        <f>IF($B32="","",IF(OR(N($I32)=0,L107&lt;Umbral_Reemplazar),"REEMPLAZAR",IF(OR($J32="Retrasada",$J32="En riesgo"),"EN RIESGO","APORTA")))</f>
        <v/>
      </c>
      <c r="G61" s="7" t="str">
        <f t="shared" si="20"/>
        <v/>
      </c>
    </row>
    <row r="62" spans="1:8" x14ac:dyDescent="0.25">
      <c r="A62" s="25" t="s">
        <v>76</v>
      </c>
      <c r="B62" s="14" t="str">
        <f t="shared" si="16"/>
        <v/>
      </c>
      <c r="C62" s="31" t="str">
        <f t="shared" si="17"/>
        <v/>
      </c>
      <c r="D62" s="34" t="str">
        <f t="shared" si="18"/>
        <v/>
      </c>
      <c r="E62" s="34" t="str">
        <f t="shared" si="19"/>
        <v/>
      </c>
      <c r="F62" s="35" t="str">
        <f>IF($B33="","",IF(OR(N($I33)=0,L108&lt;Umbral_Reemplazar),"REEMPLAZAR",IF(OR($J33="Retrasada",$J33="En riesgo"),"EN RIESGO","APORTA")))</f>
        <v/>
      </c>
      <c r="G62" s="7" t="str">
        <f t="shared" si="20"/>
        <v/>
      </c>
    </row>
    <row r="63" spans="1:8" x14ac:dyDescent="0.25">
      <c r="A63" s="25" t="s">
        <v>77</v>
      </c>
      <c r="B63" s="14" t="str">
        <f t="shared" si="16"/>
        <v/>
      </c>
      <c r="C63" s="31" t="str">
        <f t="shared" si="17"/>
        <v/>
      </c>
      <c r="D63" s="34" t="str">
        <f t="shared" si="18"/>
        <v/>
      </c>
      <c r="E63" s="34" t="str">
        <f t="shared" si="19"/>
        <v/>
      </c>
      <c r="F63" s="35" t="str">
        <f>IF($B34="","",IF(OR(N($I34)=0,L109&lt;Umbral_Reemplazar),"REEMPLAZAR",IF(OR($J34="Retrasada",$J34="En riesgo"),"EN RIESGO","APORTA")))</f>
        <v/>
      </c>
      <c r="G63" s="7" t="str">
        <f t="shared" si="20"/>
        <v/>
      </c>
    </row>
    <row r="64" spans="1:8" x14ac:dyDescent="0.25">
      <c r="A64" s="25" t="s">
        <v>78</v>
      </c>
      <c r="B64" s="14" t="str">
        <f t="shared" si="16"/>
        <v/>
      </c>
      <c r="C64" s="31" t="str">
        <f t="shared" si="17"/>
        <v/>
      </c>
      <c r="D64" s="34" t="str">
        <f t="shared" si="18"/>
        <v/>
      </c>
      <c r="E64" s="34" t="str">
        <f t="shared" si="19"/>
        <v/>
      </c>
      <c r="F64" s="35" t="str">
        <f>IF($B35="","",IF(OR(N($I35)=0,L110&lt;Umbral_Reemplazar),"REEMPLAZAR",IF(OR($J35="Retrasada",$J35="En riesgo"),"EN RIESGO","APORTA")))</f>
        <v/>
      </c>
      <c r="G64" s="7" t="str">
        <f t="shared" si="20"/>
        <v/>
      </c>
    </row>
    <row r="65" spans="1:14" x14ac:dyDescent="0.25">
      <c r="A65" s="25" t="s">
        <v>79</v>
      </c>
      <c r="B65" s="14" t="str">
        <f t="shared" si="16"/>
        <v/>
      </c>
      <c r="C65" s="31" t="str">
        <f t="shared" si="17"/>
        <v/>
      </c>
      <c r="D65" s="34" t="str">
        <f t="shared" si="18"/>
        <v/>
      </c>
      <c r="E65" s="34" t="str">
        <f t="shared" si="19"/>
        <v/>
      </c>
      <c r="F65" s="35" t="str">
        <f>IF($B36="","",IF(OR(N($I36)=0,L111&lt;Umbral_Reemplazar),"REEMPLAZAR",IF(OR($J36="Retrasada",$J36="En riesgo"),"EN RIESGO","APORTA")))</f>
        <v/>
      </c>
      <c r="G65" s="7" t="str">
        <f t="shared" si="20"/>
        <v/>
      </c>
    </row>
    <row r="66" spans="1:14" x14ac:dyDescent="0.25">
      <c r="A66" s="36"/>
      <c r="C66" s="36"/>
      <c r="D66" s="36"/>
      <c r="E66" s="36"/>
      <c r="F66" s="36"/>
    </row>
    <row r="67" spans="1:14" ht="31.95" customHeight="1" x14ac:dyDescent="0.25">
      <c r="A67" s="37" t="s">
        <v>102</v>
      </c>
      <c r="B67" s="4" t="s">
        <v>103</v>
      </c>
      <c r="C67" s="37" t="s">
        <v>98</v>
      </c>
      <c r="D67" s="37" t="s">
        <v>99</v>
      </c>
      <c r="E67" s="37" t="s">
        <v>100</v>
      </c>
      <c r="F67" s="37" t="s">
        <v>101</v>
      </c>
      <c r="G67" s="4" t="s">
        <v>87</v>
      </c>
    </row>
    <row r="68" spans="1:14" x14ac:dyDescent="0.25">
      <c r="A68" s="25">
        <v>1</v>
      </c>
      <c r="B68" s="14" t="str">
        <f t="shared" ref="B68:G75" si="21">INDEX(B$58:B$65,$C114)</f>
        <v/>
      </c>
      <c r="C68" s="31" t="str">
        <f t="shared" si="21"/>
        <v/>
      </c>
      <c r="D68" s="34" t="str">
        <f t="shared" si="21"/>
        <v/>
      </c>
      <c r="E68" s="34" t="str">
        <f t="shared" si="21"/>
        <v/>
      </c>
      <c r="F68" s="35" t="str">
        <f t="shared" si="21"/>
        <v/>
      </c>
      <c r="G68" s="7" t="str">
        <f t="shared" si="21"/>
        <v/>
      </c>
    </row>
    <row r="69" spans="1:14" x14ac:dyDescent="0.25">
      <c r="A69" s="25">
        <v>2</v>
      </c>
      <c r="B69" s="14" t="str">
        <f t="shared" si="21"/>
        <v/>
      </c>
      <c r="C69" s="31" t="str">
        <f t="shared" si="21"/>
        <v/>
      </c>
      <c r="D69" s="34" t="str">
        <f t="shared" si="21"/>
        <v/>
      </c>
      <c r="E69" s="34" t="str">
        <f t="shared" si="21"/>
        <v/>
      </c>
      <c r="F69" s="35" t="str">
        <f t="shared" si="21"/>
        <v/>
      </c>
      <c r="G69" s="7" t="str">
        <f t="shared" si="21"/>
        <v/>
      </c>
    </row>
    <row r="70" spans="1:14" x14ac:dyDescent="0.25">
      <c r="A70" s="25">
        <v>3</v>
      </c>
      <c r="B70" s="14" t="str">
        <f t="shared" si="21"/>
        <v/>
      </c>
      <c r="C70" s="31" t="str">
        <f t="shared" si="21"/>
        <v/>
      </c>
      <c r="D70" s="34" t="str">
        <f t="shared" si="21"/>
        <v/>
      </c>
      <c r="E70" s="34" t="str">
        <f t="shared" si="21"/>
        <v/>
      </c>
      <c r="F70" s="35" t="str">
        <f t="shared" si="21"/>
        <v/>
      </c>
      <c r="G70" s="7" t="str">
        <f t="shared" si="21"/>
        <v/>
      </c>
    </row>
    <row r="71" spans="1:14" x14ac:dyDescent="0.25">
      <c r="A71" s="25">
        <v>4</v>
      </c>
      <c r="B71" s="14" t="str">
        <f t="shared" si="21"/>
        <v/>
      </c>
      <c r="C71" s="31" t="str">
        <f t="shared" si="21"/>
        <v/>
      </c>
      <c r="D71" s="34" t="str">
        <f t="shared" si="21"/>
        <v/>
      </c>
      <c r="E71" s="34" t="str">
        <f t="shared" si="21"/>
        <v/>
      </c>
      <c r="F71" s="35" t="str">
        <f t="shared" si="21"/>
        <v/>
      </c>
      <c r="G71" s="7" t="str">
        <f t="shared" si="21"/>
        <v/>
      </c>
    </row>
    <row r="72" spans="1:14" x14ac:dyDescent="0.25">
      <c r="A72" s="25">
        <v>5</v>
      </c>
      <c r="B72" s="14" t="str">
        <f t="shared" si="21"/>
        <v/>
      </c>
      <c r="C72" s="31" t="str">
        <f t="shared" si="21"/>
        <v/>
      </c>
      <c r="D72" s="34" t="str">
        <f t="shared" si="21"/>
        <v/>
      </c>
      <c r="E72" s="34" t="str">
        <f t="shared" si="21"/>
        <v/>
      </c>
      <c r="F72" s="35" t="str">
        <f t="shared" si="21"/>
        <v/>
      </c>
      <c r="G72" s="7" t="str">
        <f t="shared" si="21"/>
        <v/>
      </c>
    </row>
    <row r="73" spans="1:14" x14ac:dyDescent="0.25">
      <c r="A73" s="25">
        <v>6</v>
      </c>
      <c r="B73" s="14" t="str">
        <f t="shared" si="21"/>
        <v/>
      </c>
      <c r="C73" s="31" t="str">
        <f t="shared" si="21"/>
        <v/>
      </c>
      <c r="D73" s="34" t="str">
        <f t="shared" si="21"/>
        <v/>
      </c>
      <c r="E73" s="34" t="str">
        <f t="shared" si="21"/>
        <v/>
      </c>
      <c r="F73" s="35" t="str">
        <f t="shared" si="21"/>
        <v/>
      </c>
      <c r="G73" s="7" t="str">
        <f t="shared" si="21"/>
        <v/>
      </c>
    </row>
    <row r="74" spans="1:14" x14ac:dyDescent="0.25">
      <c r="A74" s="25">
        <v>7</v>
      </c>
      <c r="B74" s="14" t="str">
        <f t="shared" si="21"/>
        <v/>
      </c>
      <c r="C74" s="31" t="str">
        <f t="shared" si="21"/>
        <v/>
      </c>
      <c r="D74" s="34" t="str">
        <f t="shared" si="21"/>
        <v/>
      </c>
      <c r="E74" s="34" t="str">
        <f t="shared" si="21"/>
        <v/>
      </c>
      <c r="F74" s="35" t="str">
        <f t="shared" si="21"/>
        <v/>
      </c>
      <c r="G74" s="7" t="str">
        <f t="shared" si="21"/>
        <v/>
      </c>
    </row>
    <row r="75" spans="1:14" x14ac:dyDescent="0.25">
      <c r="A75" s="25">
        <v>8</v>
      </c>
      <c r="B75" s="14" t="str">
        <f t="shared" si="21"/>
        <v/>
      </c>
      <c r="C75" s="31" t="str">
        <f t="shared" si="21"/>
        <v/>
      </c>
      <c r="D75" s="34" t="str">
        <f t="shared" si="21"/>
        <v/>
      </c>
      <c r="E75" s="34" t="str">
        <f t="shared" si="21"/>
        <v/>
      </c>
      <c r="F75" s="35" t="str">
        <f t="shared" si="21"/>
        <v/>
      </c>
      <c r="G75" s="7" t="str">
        <f t="shared" si="21"/>
        <v/>
      </c>
    </row>
    <row r="77" spans="1:14" ht="22.05" customHeight="1" x14ac:dyDescent="0.25">
      <c r="A77" s="3" t="s">
        <v>104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9" spans="1:14" ht="42" customHeight="1" x14ac:dyDescent="0.25">
      <c r="A79" s="4"/>
      <c r="B79" s="4" t="s">
        <v>105</v>
      </c>
      <c r="C79" s="4" t="str">
        <f t="shared" ref="C79:H79" si="22">IF(C$17="","Dolor "&amp;(COLUMN()-2),C$17)</f>
        <v>Dolor 1</v>
      </c>
      <c r="D79" s="4" t="str">
        <f t="shared" si="22"/>
        <v>Dolor 2</v>
      </c>
      <c r="E79" s="4" t="str">
        <f t="shared" si="22"/>
        <v>Dolor 3</v>
      </c>
      <c r="F79" s="4" t="str">
        <f t="shared" si="22"/>
        <v>Dolor 4</v>
      </c>
      <c r="G79" s="4" t="str">
        <f t="shared" si="22"/>
        <v>Dolor 5</v>
      </c>
      <c r="H79" s="4" t="str">
        <f t="shared" si="22"/>
        <v>Dolor 6</v>
      </c>
    </row>
    <row r="80" spans="1:14" x14ac:dyDescent="0.25">
      <c r="A80" s="7" t="s">
        <v>72</v>
      </c>
      <c r="B80" s="14" t="str">
        <f t="shared" ref="B80:B87" si="23">IF(B29="","",B29)</f>
        <v/>
      </c>
      <c r="C80" s="21">
        <f>1-MIN(Tope_Efectividad,N(C29))</f>
        <v>1</v>
      </c>
      <c r="D80" s="21">
        <f>1-MIN(Tope_Efectividad,N(D29))</f>
        <v>1</v>
      </c>
      <c r="E80" s="21">
        <f>1-MIN(Tope_Efectividad,N(E29))</f>
        <v>1</v>
      </c>
      <c r="F80" s="21">
        <f>1-MIN(Tope_Efectividad,N(F29))</f>
        <v>1</v>
      </c>
      <c r="G80" s="21">
        <f>1-MIN(Tope_Efectividad,N(G29))</f>
        <v>1</v>
      </c>
      <c r="H80" s="21">
        <f>1-MIN(Tope_Efectividad,N(H29))</f>
        <v>1</v>
      </c>
    </row>
    <row r="81" spans="1:8" x14ac:dyDescent="0.25">
      <c r="A81" s="7" t="s">
        <v>73</v>
      </c>
      <c r="B81" s="14" t="str">
        <f t="shared" si="23"/>
        <v/>
      </c>
      <c r="C81" s="21">
        <f>1-MIN(Tope_Efectividad,N(C30))</f>
        <v>1</v>
      </c>
      <c r="D81" s="21">
        <f>1-MIN(Tope_Efectividad,N(D30))</f>
        <v>1</v>
      </c>
      <c r="E81" s="21">
        <f>1-MIN(Tope_Efectividad,N(E30))</f>
        <v>1</v>
      </c>
      <c r="F81" s="21">
        <f>1-MIN(Tope_Efectividad,N(F30))</f>
        <v>1</v>
      </c>
      <c r="G81" s="21">
        <f>1-MIN(Tope_Efectividad,N(G30))</f>
        <v>1</v>
      </c>
      <c r="H81" s="21">
        <f>1-MIN(Tope_Efectividad,N(H30))</f>
        <v>1</v>
      </c>
    </row>
    <row r="82" spans="1:8" x14ac:dyDescent="0.25">
      <c r="A82" s="7" t="s">
        <v>74</v>
      </c>
      <c r="B82" s="14" t="str">
        <f t="shared" si="23"/>
        <v/>
      </c>
      <c r="C82" s="21">
        <f>1-MIN(Tope_Efectividad,N(C31))</f>
        <v>1</v>
      </c>
      <c r="D82" s="21">
        <f>1-MIN(Tope_Efectividad,N(D31))</f>
        <v>1</v>
      </c>
      <c r="E82" s="21">
        <f>1-MIN(Tope_Efectividad,N(E31))</f>
        <v>1</v>
      </c>
      <c r="F82" s="21">
        <f>1-MIN(Tope_Efectividad,N(F31))</f>
        <v>1</v>
      </c>
      <c r="G82" s="21">
        <f>1-MIN(Tope_Efectividad,N(G31))</f>
        <v>1</v>
      </c>
      <c r="H82" s="21">
        <f>1-MIN(Tope_Efectividad,N(H31))</f>
        <v>1</v>
      </c>
    </row>
    <row r="83" spans="1:8" x14ac:dyDescent="0.25">
      <c r="A83" s="7" t="s">
        <v>75</v>
      </c>
      <c r="B83" s="14" t="str">
        <f t="shared" si="23"/>
        <v/>
      </c>
      <c r="C83" s="21">
        <f>1-MIN(Tope_Efectividad,N(C32))</f>
        <v>1</v>
      </c>
      <c r="D83" s="21">
        <f>1-MIN(Tope_Efectividad,N(D32))</f>
        <v>1</v>
      </c>
      <c r="E83" s="21">
        <f>1-MIN(Tope_Efectividad,N(E32))</f>
        <v>1</v>
      </c>
      <c r="F83" s="21">
        <f>1-MIN(Tope_Efectividad,N(F32))</f>
        <v>1</v>
      </c>
      <c r="G83" s="21">
        <f>1-MIN(Tope_Efectividad,N(G32))</f>
        <v>1</v>
      </c>
      <c r="H83" s="21">
        <f>1-MIN(Tope_Efectividad,N(H32))</f>
        <v>1</v>
      </c>
    </row>
    <row r="84" spans="1:8" x14ac:dyDescent="0.25">
      <c r="A84" s="7" t="s">
        <v>76</v>
      </c>
      <c r="B84" s="14" t="str">
        <f t="shared" si="23"/>
        <v/>
      </c>
      <c r="C84" s="21">
        <f>1-MIN(Tope_Efectividad,N(C33))</f>
        <v>1</v>
      </c>
      <c r="D84" s="21">
        <f>1-MIN(Tope_Efectividad,N(D33))</f>
        <v>1</v>
      </c>
      <c r="E84" s="21">
        <f>1-MIN(Tope_Efectividad,N(E33))</f>
        <v>1</v>
      </c>
      <c r="F84" s="21">
        <f>1-MIN(Tope_Efectividad,N(F33))</f>
        <v>1</v>
      </c>
      <c r="G84" s="21">
        <f>1-MIN(Tope_Efectividad,N(G33))</f>
        <v>1</v>
      </c>
      <c r="H84" s="21">
        <f>1-MIN(Tope_Efectividad,N(H33))</f>
        <v>1</v>
      </c>
    </row>
    <row r="85" spans="1:8" x14ac:dyDescent="0.25">
      <c r="A85" s="7" t="s">
        <v>77</v>
      </c>
      <c r="B85" s="14" t="str">
        <f t="shared" si="23"/>
        <v/>
      </c>
      <c r="C85" s="21">
        <f>1-MIN(Tope_Efectividad,N(C34))</f>
        <v>1</v>
      </c>
      <c r="D85" s="21">
        <f>1-MIN(Tope_Efectividad,N(D34))</f>
        <v>1</v>
      </c>
      <c r="E85" s="21">
        <f>1-MIN(Tope_Efectividad,N(E34))</f>
        <v>1</v>
      </c>
      <c r="F85" s="21">
        <f>1-MIN(Tope_Efectividad,N(F34))</f>
        <v>1</v>
      </c>
      <c r="G85" s="21">
        <f>1-MIN(Tope_Efectividad,N(G34))</f>
        <v>1</v>
      </c>
      <c r="H85" s="21">
        <f>1-MIN(Tope_Efectividad,N(H34))</f>
        <v>1</v>
      </c>
    </row>
    <row r="86" spans="1:8" x14ac:dyDescent="0.25">
      <c r="A86" s="7" t="s">
        <v>78</v>
      </c>
      <c r="B86" s="14" t="str">
        <f t="shared" si="23"/>
        <v/>
      </c>
      <c r="C86" s="21">
        <f>1-MIN(Tope_Efectividad,N(C35))</f>
        <v>1</v>
      </c>
      <c r="D86" s="21">
        <f>1-MIN(Tope_Efectividad,N(D35))</f>
        <v>1</v>
      </c>
      <c r="E86" s="21">
        <f>1-MIN(Tope_Efectividad,N(E35))</f>
        <v>1</v>
      </c>
      <c r="F86" s="21">
        <f>1-MIN(Tope_Efectividad,N(F35))</f>
        <v>1</v>
      </c>
      <c r="G86" s="21">
        <f>1-MIN(Tope_Efectividad,N(G35))</f>
        <v>1</v>
      </c>
      <c r="H86" s="21">
        <f>1-MIN(Tope_Efectividad,N(H35))</f>
        <v>1</v>
      </c>
    </row>
    <row r="87" spans="1:8" x14ac:dyDescent="0.25">
      <c r="A87" s="7" t="s">
        <v>79</v>
      </c>
      <c r="B87" s="14" t="str">
        <f t="shared" si="23"/>
        <v/>
      </c>
      <c r="C87" s="21">
        <f>1-MIN(Tope_Efectividad,N(C36))</f>
        <v>1</v>
      </c>
      <c r="D87" s="21">
        <f>1-MIN(Tope_Efectividad,N(D36))</f>
        <v>1</v>
      </c>
      <c r="E87" s="21">
        <f>1-MIN(Tope_Efectividad,N(E36))</f>
        <v>1</v>
      </c>
      <c r="F87" s="21">
        <f>1-MIN(Tope_Efectividad,N(F36))</f>
        <v>1</v>
      </c>
      <c r="G87" s="21">
        <f>1-MIN(Tope_Efectividad,N(G36))</f>
        <v>1</v>
      </c>
      <c r="H87" s="21">
        <f>1-MIN(Tope_Efectividad,N(H36))</f>
        <v>1</v>
      </c>
    </row>
    <row r="88" spans="1:8" x14ac:dyDescent="0.25">
      <c r="B88" s="20" t="s">
        <v>107</v>
      </c>
      <c r="C88" s="30">
        <f t="shared" ref="C88:H88" si="24">PRODUCT(C80:C87)</f>
        <v>1</v>
      </c>
      <c r="D88" s="30">
        <f t="shared" si="24"/>
        <v>1</v>
      </c>
      <c r="E88" s="30">
        <f t="shared" si="24"/>
        <v>1</v>
      </c>
      <c r="F88" s="30">
        <f t="shared" si="24"/>
        <v>1</v>
      </c>
      <c r="G88" s="30">
        <f t="shared" si="24"/>
        <v>1</v>
      </c>
      <c r="H88" s="30">
        <f t="shared" si="24"/>
        <v>1</v>
      </c>
    </row>
    <row r="89" spans="1:8" x14ac:dyDescent="0.25">
      <c r="B89" s="20" t="s">
        <v>108</v>
      </c>
      <c r="C89" s="30">
        <f t="shared" ref="C89:H89" si="25">1-C88</f>
        <v>0</v>
      </c>
      <c r="D89" s="30">
        <f t="shared" si="25"/>
        <v>0</v>
      </c>
      <c r="E89" s="30">
        <f t="shared" si="25"/>
        <v>0</v>
      </c>
      <c r="F89" s="30">
        <f t="shared" si="25"/>
        <v>0</v>
      </c>
      <c r="G89" s="30">
        <f t="shared" si="25"/>
        <v>0</v>
      </c>
      <c r="H89" s="30">
        <f t="shared" si="25"/>
        <v>0</v>
      </c>
    </row>
    <row r="91" spans="1:8" ht="42" customHeight="1" x14ac:dyDescent="0.25">
      <c r="A91" s="4"/>
      <c r="B91" s="4" t="s">
        <v>106</v>
      </c>
      <c r="C91" s="4" t="str">
        <f t="shared" ref="C91:H91" si="26">IF(C$17="","Dolor "&amp;(COLUMN()-2),C$17)</f>
        <v>Dolor 1</v>
      </c>
      <c r="D91" s="4" t="str">
        <f t="shared" si="26"/>
        <v>Dolor 2</v>
      </c>
      <c r="E91" s="4" t="str">
        <f t="shared" si="26"/>
        <v>Dolor 3</v>
      </c>
      <c r="F91" s="4" t="str">
        <f t="shared" si="26"/>
        <v>Dolor 4</v>
      </c>
      <c r="G91" s="4" t="str">
        <f t="shared" si="26"/>
        <v>Dolor 5</v>
      </c>
      <c r="H91" s="4" t="str">
        <f t="shared" si="26"/>
        <v>Dolor 6</v>
      </c>
    </row>
    <row r="92" spans="1:8" x14ac:dyDescent="0.25">
      <c r="A92" s="7" t="s">
        <v>72</v>
      </c>
      <c r="B92" s="14" t="str">
        <f t="shared" ref="B92:B99" si="27">IF(B29="","",B29)</f>
        <v/>
      </c>
      <c r="C92" s="21">
        <f>1-MIN(Tope_Efectividad,N(C29)*N($I29))</f>
        <v>1</v>
      </c>
      <c r="D92" s="21">
        <f>1-MIN(Tope_Efectividad,N(D29)*N($I29))</f>
        <v>1</v>
      </c>
      <c r="E92" s="21">
        <f>1-MIN(Tope_Efectividad,N(E29)*N($I29))</f>
        <v>1</v>
      </c>
      <c r="F92" s="21">
        <f>1-MIN(Tope_Efectividad,N(F29)*N($I29))</f>
        <v>1</v>
      </c>
      <c r="G92" s="21">
        <f>1-MIN(Tope_Efectividad,N(G29)*N($I29))</f>
        <v>1</v>
      </c>
      <c r="H92" s="21">
        <f>1-MIN(Tope_Efectividad,N(H29)*N($I29))</f>
        <v>1</v>
      </c>
    </row>
    <row r="93" spans="1:8" x14ac:dyDescent="0.25">
      <c r="A93" s="7" t="s">
        <v>73</v>
      </c>
      <c r="B93" s="14" t="str">
        <f t="shared" si="27"/>
        <v/>
      </c>
      <c r="C93" s="21">
        <f>1-MIN(Tope_Efectividad,N(C30)*N($I30))</f>
        <v>1</v>
      </c>
      <c r="D93" s="21">
        <f>1-MIN(Tope_Efectividad,N(D30)*N($I30))</f>
        <v>1</v>
      </c>
      <c r="E93" s="21">
        <f>1-MIN(Tope_Efectividad,N(E30)*N($I30))</f>
        <v>1</v>
      </c>
      <c r="F93" s="21">
        <f>1-MIN(Tope_Efectividad,N(F30)*N($I30))</f>
        <v>1</v>
      </c>
      <c r="G93" s="21">
        <f>1-MIN(Tope_Efectividad,N(G30)*N($I30))</f>
        <v>1</v>
      </c>
      <c r="H93" s="21">
        <f>1-MIN(Tope_Efectividad,N(H30)*N($I30))</f>
        <v>1</v>
      </c>
    </row>
    <row r="94" spans="1:8" x14ac:dyDescent="0.25">
      <c r="A94" s="7" t="s">
        <v>74</v>
      </c>
      <c r="B94" s="14" t="str">
        <f t="shared" si="27"/>
        <v/>
      </c>
      <c r="C94" s="21">
        <f>1-MIN(Tope_Efectividad,N(C31)*N($I31))</f>
        <v>1</v>
      </c>
      <c r="D94" s="21">
        <f>1-MIN(Tope_Efectividad,N(D31)*N($I31))</f>
        <v>1</v>
      </c>
      <c r="E94" s="21">
        <f>1-MIN(Tope_Efectividad,N(E31)*N($I31))</f>
        <v>1</v>
      </c>
      <c r="F94" s="21">
        <f>1-MIN(Tope_Efectividad,N(F31)*N($I31))</f>
        <v>1</v>
      </c>
      <c r="G94" s="21">
        <f>1-MIN(Tope_Efectividad,N(G31)*N($I31))</f>
        <v>1</v>
      </c>
      <c r="H94" s="21">
        <f>1-MIN(Tope_Efectividad,N(H31)*N($I31))</f>
        <v>1</v>
      </c>
    </row>
    <row r="95" spans="1:8" x14ac:dyDescent="0.25">
      <c r="A95" s="7" t="s">
        <v>75</v>
      </c>
      <c r="B95" s="14" t="str">
        <f t="shared" si="27"/>
        <v/>
      </c>
      <c r="C95" s="21">
        <f>1-MIN(Tope_Efectividad,N(C32)*N($I32))</f>
        <v>1</v>
      </c>
      <c r="D95" s="21">
        <f>1-MIN(Tope_Efectividad,N(D32)*N($I32))</f>
        <v>1</v>
      </c>
      <c r="E95" s="21">
        <f>1-MIN(Tope_Efectividad,N(E32)*N($I32))</f>
        <v>1</v>
      </c>
      <c r="F95" s="21">
        <f>1-MIN(Tope_Efectividad,N(F32)*N($I32))</f>
        <v>1</v>
      </c>
      <c r="G95" s="21">
        <f>1-MIN(Tope_Efectividad,N(G32)*N($I32))</f>
        <v>1</v>
      </c>
      <c r="H95" s="21">
        <f>1-MIN(Tope_Efectividad,N(H32)*N($I32))</f>
        <v>1</v>
      </c>
    </row>
    <row r="96" spans="1:8" x14ac:dyDescent="0.25">
      <c r="A96" s="7" t="s">
        <v>76</v>
      </c>
      <c r="B96" s="14" t="str">
        <f t="shared" si="27"/>
        <v/>
      </c>
      <c r="C96" s="21">
        <f>1-MIN(Tope_Efectividad,N(C33)*N($I33))</f>
        <v>1</v>
      </c>
      <c r="D96" s="21">
        <f>1-MIN(Tope_Efectividad,N(D33)*N($I33))</f>
        <v>1</v>
      </c>
      <c r="E96" s="21">
        <f>1-MIN(Tope_Efectividad,N(E33)*N($I33))</f>
        <v>1</v>
      </c>
      <c r="F96" s="21">
        <f>1-MIN(Tope_Efectividad,N(F33)*N($I33))</f>
        <v>1</v>
      </c>
      <c r="G96" s="21">
        <f>1-MIN(Tope_Efectividad,N(G33)*N($I33))</f>
        <v>1</v>
      </c>
      <c r="H96" s="21">
        <f>1-MIN(Tope_Efectividad,N(H33)*N($I33))</f>
        <v>1</v>
      </c>
    </row>
    <row r="97" spans="1:13" x14ac:dyDescent="0.25">
      <c r="A97" s="7" t="s">
        <v>77</v>
      </c>
      <c r="B97" s="14" t="str">
        <f t="shared" si="27"/>
        <v/>
      </c>
      <c r="C97" s="21">
        <f>1-MIN(Tope_Efectividad,N(C34)*N($I34))</f>
        <v>1</v>
      </c>
      <c r="D97" s="21">
        <f>1-MIN(Tope_Efectividad,N(D34)*N($I34))</f>
        <v>1</v>
      </c>
      <c r="E97" s="21">
        <f>1-MIN(Tope_Efectividad,N(E34)*N($I34))</f>
        <v>1</v>
      </c>
      <c r="F97" s="21">
        <f>1-MIN(Tope_Efectividad,N(F34)*N($I34))</f>
        <v>1</v>
      </c>
      <c r="G97" s="21">
        <f>1-MIN(Tope_Efectividad,N(G34)*N($I34))</f>
        <v>1</v>
      </c>
      <c r="H97" s="21">
        <f>1-MIN(Tope_Efectividad,N(H34)*N($I34))</f>
        <v>1</v>
      </c>
    </row>
    <row r="98" spans="1:13" x14ac:dyDescent="0.25">
      <c r="A98" s="7" t="s">
        <v>78</v>
      </c>
      <c r="B98" s="14" t="str">
        <f t="shared" si="27"/>
        <v/>
      </c>
      <c r="C98" s="21">
        <f>1-MIN(Tope_Efectividad,N(C35)*N($I35))</f>
        <v>1</v>
      </c>
      <c r="D98" s="21">
        <f>1-MIN(Tope_Efectividad,N(D35)*N($I35))</f>
        <v>1</v>
      </c>
      <c r="E98" s="21">
        <f>1-MIN(Tope_Efectividad,N(E35)*N($I35))</f>
        <v>1</v>
      </c>
      <c r="F98" s="21">
        <f>1-MIN(Tope_Efectividad,N(F35)*N($I35))</f>
        <v>1</v>
      </c>
      <c r="G98" s="21">
        <f>1-MIN(Tope_Efectividad,N(G35)*N($I35))</f>
        <v>1</v>
      </c>
      <c r="H98" s="21">
        <f>1-MIN(Tope_Efectividad,N(H35)*N($I35))</f>
        <v>1</v>
      </c>
    </row>
    <row r="99" spans="1:13" x14ac:dyDescent="0.25">
      <c r="A99" s="7" t="s">
        <v>79</v>
      </c>
      <c r="B99" s="14" t="str">
        <f t="shared" si="27"/>
        <v/>
      </c>
      <c r="C99" s="21">
        <f>1-MIN(Tope_Efectividad,N(C36)*N($I36))</f>
        <v>1</v>
      </c>
      <c r="D99" s="21">
        <f>1-MIN(Tope_Efectividad,N(D36)*N($I36))</f>
        <v>1</v>
      </c>
      <c r="E99" s="21">
        <f>1-MIN(Tope_Efectividad,N(E36)*N($I36))</f>
        <v>1</v>
      </c>
      <c r="F99" s="21">
        <f>1-MIN(Tope_Efectividad,N(F36)*N($I36))</f>
        <v>1</v>
      </c>
      <c r="G99" s="21">
        <f>1-MIN(Tope_Efectividad,N(G36)*N($I36))</f>
        <v>1</v>
      </c>
      <c r="H99" s="21">
        <f>1-MIN(Tope_Efectividad,N(H36)*N($I36))</f>
        <v>1</v>
      </c>
    </row>
    <row r="100" spans="1:13" x14ac:dyDescent="0.25">
      <c r="B100" s="20" t="s">
        <v>107</v>
      </c>
      <c r="C100" s="30">
        <f t="shared" ref="C100:H100" si="28">PRODUCT(C92:C99)</f>
        <v>1</v>
      </c>
      <c r="D100" s="30">
        <f t="shared" si="28"/>
        <v>1</v>
      </c>
      <c r="E100" s="30">
        <f t="shared" si="28"/>
        <v>1</v>
      </c>
      <c r="F100" s="30">
        <f t="shared" si="28"/>
        <v>1</v>
      </c>
      <c r="G100" s="30">
        <f t="shared" si="28"/>
        <v>1</v>
      </c>
      <c r="H100" s="30">
        <f t="shared" si="28"/>
        <v>1</v>
      </c>
    </row>
    <row r="101" spans="1:13" x14ac:dyDescent="0.25">
      <c r="B101" s="20" t="s">
        <v>109</v>
      </c>
      <c r="C101" s="30">
        <f t="shared" ref="C101:H101" si="29">1-C100</f>
        <v>0</v>
      </c>
      <c r="D101" s="30">
        <f t="shared" si="29"/>
        <v>0</v>
      </c>
      <c r="E101" s="30">
        <f t="shared" si="29"/>
        <v>0</v>
      </c>
      <c r="F101" s="30">
        <f t="shared" si="29"/>
        <v>0</v>
      </c>
      <c r="G101" s="30">
        <f t="shared" si="29"/>
        <v>0</v>
      </c>
      <c r="H101" s="30">
        <f t="shared" si="29"/>
        <v>0</v>
      </c>
    </row>
    <row r="103" spans="1:13" ht="42" customHeight="1" x14ac:dyDescent="0.25">
      <c r="A103" s="4"/>
      <c r="B103" s="4" t="s">
        <v>110</v>
      </c>
      <c r="C103" s="4" t="str">
        <f t="shared" ref="C103:H103" si="30">IF(C$17="","Dolor "&amp;(COLUMN()-2),C$17)</f>
        <v>Dolor 1</v>
      </c>
      <c r="D103" s="4" t="str">
        <f t="shared" si="30"/>
        <v>Dolor 2</v>
      </c>
      <c r="E103" s="4" t="str">
        <f t="shared" si="30"/>
        <v>Dolor 3</v>
      </c>
      <c r="F103" s="4" t="str">
        <f t="shared" si="30"/>
        <v>Dolor 4</v>
      </c>
      <c r="G103" s="4" t="str">
        <f t="shared" si="30"/>
        <v>Dolor 5</v>
      </c>
      <c r="H103" s="4" t="str">
        <f t="shared" si="30"/>
        <v>Dolor 6</v>
      </c>
      <c r="I103" s="4" t="s">
        <v>111</v>
      </c>
      <c r="J103" s="4" t="s">
        <v>112</v>
      </c>
      <c r="K103" s="4" t="s">
        <v>98</v>
      </c>
      <c r="L103" s="4" t="s">
        <v>99</v>
      </c>
      <c r="M103" s="4" t="s">
        <v>113</v>
      </c>
    </row>
    <row r="104" spans="1:13" x14ac:dyDescent="0.25">
      <c r="A104" s="7" t="s">
        <v>72</v>
      </c>
      <c r="B104" s="14" t="str">
        <f t="shared" ref="B104:B111" si="31">IF(B29="","",B29)</f>
        <v/>
      </c>
      <c r="C104" s="21">
        <f t="shared" ref="C104:H111" si="32">1-C$100/C92</f>
        <v>0</v>
      </c>
      <c r="D104" s="21">
        <f t="shared" si="32"/>
        <v>0</v>
      </c>
      <c r="E104" s="21">
        <f t="shared" si="32"/>
        <v>0</v>
      </c>
      <c r="F104" s="21">
        <f t="shared" si="32"/>
        <v>0</v>
      </c>
      <c r="G104" s="21">
        <f t="shared" si="32"/>
        <v>0</v>
      </c>
      <c r="H104" s="21">
        <f t="shared" si="32"/>
        <v>0</v>
      </c>
      <c r="I104" s="16">
        <f t="shared" ref="I104:I111" si="33">$C$11*SUMPRODUCT($C$22:$H$22,C104:H104)</f>
        <v>0</v>
      </c>
      <c r="J104" s="21">
        <f t="shared" ref="J104:J111" si="34">IF($C$12=0,0,I104/$C$12)</f>
        <v>0</v>
      </c>
      <c r="K104" s="38">
        <f t="shared" ref="K104:K111" si="35">$D$41-I104</f>
        <v>0</v>
      </c>
      <c r="L104" s="21">
        <f t="shared" ref="L104:L111" si="36">IF($C$12=0,0,K104/$C$12)</f>
        <v>0</v>
      </c>
      <c r="M104" s="39">
        <f t="shared" ref="M104:M111" si="37">IF(B29="",-1,K104)-ROW()/1000000000</f>
        <v>-1.0000001039999999</v>
      </c>
    </row>
    <row r="105" spans="1:13" x14ac:dyDescent="0.25">
      <c r="A105" s="7" t="s">
        <v>73</v>
      </c>
      <c r="B105" s="14" t="str">
        <f t="shared" si="31"/>
        <v/>
      </c>
      <c r="C105" s="21">
        <f t="shared" si="32"/>
        <v>0</v>
      </c>
      <c r="D105" s="21">
        <f t="shared" si="32"/>
        <v>0</v>
      </c>
      <c r="E105" s="21">
        <f t="shared" si="32"/>
        <v>0</v>
      </c>
      <c r="F105" s="21">
        <f t="shared" si="32"/>
        <v>0</v>
      </c>
      <c r="G105" s="21">
        <f t="shared" si="32"/>
        <v>0</v>
      </c>
      <c r="H105" s="21">
        <f t="shared" si="32"/>
        <v>0</v>
      </c>
      <c r="I105" s="16">
        <f t="shared" si="33"/>
        <v>0</v>
      </c>
      <c r="J105" s="21">
        <f t="shared" si="34"/>
        <v>0</v>
      </c>
      <c r="K105" s="38">
        <f t="shared" si="35"/>
        <v>0</v>
      </c>
      <c r="L105" s="21">
        <f t="shared" si="36"/>
        <v>0</v>
      </c>
      <c r="M105" s="39">
        <f t="shared" si="37"/>
        <v>-1.000000105</v>
      </c>
    </row>
    <row r="106" spans="1:13" x14ac:dyDescent="0.25">
      <c r="A106" s="7" t="s">
        <v>74</v>
      </c>
      <c r="B106" s="14" t="str">
        <f t="shared" si="31"/>
        <v/>
      </c>
      <c r="C106" s="21">
        <f t="shared" si="32"/>
        <v>0</v>
      </c>
      <c r="D106" s="21">
        <f t="shared" si="32"/>
        <v>0</v>
      </c>
      <c r="E106" s="21">
        <f t="shared" si="32"/>
        <v>0</v>
      </c>
      <c r="F106" s="21">
        <f t="shared" si="32"/>
        <v>0</v>
      </c>
      <c r="G106" s="21">
        <f t="shared" si="32"/>
        <v>0</v>
      </c>
      <c r="H106" s="21">
        <f t="shared" si="32"/>
        <v>0</v>
      </c>
      <c r="I106" s="16">
        <f t="shared" si="33"/>
        <v>0</v>
      </c>
      <c r="J106" s="21">
        <f t="shared" si="34"/>
        <v>0</v>
      </c>
      <c r="K106" s="38">
        <f t="shared" si="35"/>
        <v>0</v>
      </c>
      <c r="L106" s="21">
        <f t="shared" si="36"/>
        <v>0</v>
      </c>
      <c r="M106" s="39">
        <f t="shared" si="37"/>
        <v>-1.0000001060000001</v>
      </c>
    </row>
    <row r="107" spans="1:13" x14ac:dyDescent="0.25">
      <c r="A107" s="7" t="s">
        <v>75</v>
      </c>
      <c r="B107" s="14" t="str">
        <f t="shared" si="31"/>
        <v/>
      </c>
      <c r="C107" s="21">
        <f t="shared" si="32"/>
        <v>0</v>
      </c>
      <c r="D107" s="21">
        <f t="shared" si="32"/>
        <v>0</v>
      </c>
      <c r="E107" s="21">
        <f t="shared" si="32"/>
        <v>0</v>
      </c>
      <c r="F107" s="21">
        <f t="shared" si="32"/>
        <v>0</v>
      </c>
      <c r="G107" s="21">
        <f t="shared" si="32"/>
        <v>0</v>
      </c>
      <c r="H107" s="21">
        <f t="shared" si="32"/>
        <v>0</v>
      </c>
      <c r="I107" s="16">
        <f t="shared" si="33"/>
        <v>0</v>
      </c>
      <c r="J107" s="21">
        <f t="shared" si="34"/>
        <v>0</v>
      </c>
      <c r="K107" s="38">
        <f t="shared" si="35"/>
        <v>0</v>
      </c>
      <c r="L107" s="21">
        <f t="shared" si="36"/>
        <v>0</v>
      </c>
      <c r="M107" s="39">
        <f t="shared" si="37"/>
        <v>-1.000000107</v>
      </c>
    </row>
    <row r="108" spans="1:13" x14ac:dyDescent="0.25">
      <c r="A108" s="7" t="s">
        <v>76</v>
      </c>
      <c r="B108" s="14" t="str">
        <f t="shared" si="31"/>
        <v/>
      </c>
      <c r="C108" s="21">
        <f t="shared" si="32"/>
        <v>0</v>
      </c>
      <c r="D108" s="21">
        <f t="shared" si="32"/>
        <v>0</v>
      </c>
      <c r="E108" s="21">
        <f t="shared" si="32"/>
        <v>0</v>
      </c>
      <c r="F108" s="21">
        <f t="shared" si="32"/>
        <v>0</v>
      </c>
      <c r="G108" s="21">
        <f t="shared" si="32"/>
        <v>0</v>
      </c>
      <c r="H108" s="21">
        <f t="shared" si="32"/>
        <v>0</v>
      </c>
      <c r="I108" s="16">
        <f t="shared" si="33"/>
        <v>0</v>
      </c>
      <c r="J108" s="21">
        <f t="shared" si="34"/>
        <v>0</v>
      </c>
      <c r="K108" s="38">
        <f t="shared" si="35"/>
        <v>0</v>
      </c>
      <c r="L108" s="21">
        <f t="shared" si="36"/>
        <v>0</v>
      </c>
      <c r="M108" s="39">
        <f t="shared" si="37"/>
        <v>-1.0000001080000001</v>
      </c>
    </row>
    <row r="109" spans="1:13" x14ac:dyDescent="0.25">
      <c r="A109" s="7" t="s">
        <v>77</v>
      </c>
      <c r="B109" s="14" t="str">
        <f t="shared" si="31"/>
        <v/>
      </c>
      <c r="C109" s="21">
        <f t="shared" si="32"/>
        <v>0</v>
      </c>
      <c r="D109" s="21">
        <f t="shared" si="32"/>
        <v>0</v>
      </c>
      <c r="E109" s="21">
        <f t="shared" si="32"/>
        <v>0</v>
      </c>
      <c r="F109" s="21">
        <f t="shared" si="32"/>
        <v>0</v>
      </c>
      <c r="G109" s="21">
        <f t="shared" si="32"/>
        <v>0</v>
      </c>
      <c r="H109" s="21">
        <f t="shared" si="32"/>
        <v>0</v>
      </c>
      <c r="I109" s="16">
        <f t="shared" si="33"/>
        <v>0</v>
      </c>
      <c r="J109" s="21">
        <f t="shared" si="34"/>
        <v>0</v>
      </c>
      <c r="K109" s="38">
        <f t="shared" si="35"/>
        <v>0</v>
      </c>
      <c r="L109" s="21">
        <f t="shared" si="36"/>
        <v>0</v>
      </c>
      <c r="M109" s="39">
        <f t="shared" si="37"/>
        <v>-1.0000001089999999</v>
      </c>
    </row>
    <row r="110" spans="1:13" x14ac:dyDescent="0.25">
      <c r="A110" s="7" t="s">
        <v>78</v>
      </c>
      <c r="B110" s="14" t="str">
        <f t="shared" si="31"/>
        <v/>
      </c>
      <c r="C110" s="21">
        <f t="shared" si="32"/>
        <v>0</v>
      </c>
      <c r="D110" s="21">
        <f t="shared" si="32"/>
        <v>0</v>
      </c>
      <c r="E110" s="21">
        <f t="shared" si="32"/>
        <v>0</v>
      </c>
      <c r="F110" s="21">
        <f t="shared" si="32"/>
        <v>0</v>
      </c>
      <c r="G110" s="21">
        <f t="shared" si="32"/>
        <v>0</v>
      </c>
      <c r="H110" s="21">
        <f t="shared" si="32"/>
        <v>0</v>
      </c>
      <c r="I110" s="16">
        <f t="shared" si="33"/>
        <v>0</v>
      </c>
      <c r="J110" s="21">
        <f t="shared" si="34"/>
        <v>0</v>
      </c>
      <c r="K110" s="38">
        <f t="shared" si="35"/>
        <v>0</v>
      </c>
      <c r="L110" s="21">
        <f t="shared" si="36"/>
        <v>0</v>
      </c>
      <c r="M110" s="39">
        <f t="shared" si="37"/>
        <v>-1.00000011</v>
      </c>
    </row>
    <row r="111" spans="1:13" x14ac:dyDescent="0.25">
      <c r="A111" s="7" t="s">
        <v>79</v>
      </c>
      <c r="B111" s="14" t="str">
        <f t="shared" si="31"/>
        <v/>
      </c>
      <c r="C111" s="21">
        <f t="shared" si="32"/>
        <v>0</v>
      </c>
      <c r="D111" s="21">
        <f t="shared" si="32"/>
        <v>0</v>
      </c>
      <c r="E111" s="21">
        <f t="shared" si="32"/>
        <v>0</v>
      </c>
      <c r="F111" s="21">
        <f t="shared" si="32"/>
        <v>0</v>
      </c>
      <c r="G111" s="21">
        <f t="shared" si="32"/>
        <v>0</v>
      </c>
      <c r="H111" s="21">
        <f t="shared" si="32"/>
        <v>0</v>
      </c>
      <c r="I111" s="16">
        <f t="shared" si="33"/>
        <v>0</v>
      </c>
      <c r="J111" s="21">
        <f t="shared" si="34"/>
        <v>0</v>
      </c>
      <c r="K111" s="38">
        <f t="shared" si="35"/>
        <v>0</v>
      </c>
      <c r="L111" s="21">
        <f t="shared" si="36"/>
        <v>0</v>
      </c>
      <c r="M111" s="39">
        <f t="shared" si="37"/>
        <v>-1.0000001110000001</v>
      </c>
    </row>
    <row r="113" spans="1:3" ht="26.4" x14ac:dyDescent="0.25">
      <c r="A113" s="4" t="s">
        <v>102</v>
      </c>
      <c r="B113" s="4" t="s">
        <v>114</v>
      </c>
      <c r="C113" s="4" t="s">
        <v>115</v>
      </c>
    </row>
    <row r="114" spans="1:3" x14ac:dyDescent="0.25">
      <c r="A114" s="7">
        <v>1</v>
      </c>
      <c r="C114" s="14">
        <f t="shared" ref="C114:C121" si="38">MATCH(LARGE($M$104:$M$111,A114),$M$104:$M$111,0)</f>
        <v>1</v>
      </c>
    </row>
    <row r="115" spans="1:3" x14ac:dyDescent="0.25">
      <c r="A115" s="7">
        <v>2</v>
      </c>
      <c r="C115" s="14">
        <f t="shared" si="38"/>
        <v>2</v>
      </c>
    </row>
    <row r="116" spans="1:3" x14ac:dyDescent="0.25">
      <c r="A116" s="7">
        <v>3</v>
      </c>
      <c r="C116" s="14">
        <f t="shared" si="38"/>
        <v>3</v>
      </c>
    </row>
    <row r="117" spans="1:3" x14ac:dyDescent="0.25">
      <c r="A117" s="7">
        <v>4</v>
      </c>
      <c r="C117" s="14">
        <f t="shared" si="38"/>
        <v>4</v>
      </c>
    </row>
    <row r="118" spans="1:3" x14ac:dyDescent="0.25">
      <c r="A118" s="7">
        <v>5</v>
      </c>
      <c r="C118" s="14">
        <f t="shared" si="38"/>
        <v>5</v>
      </c>
    </row>
    <row r="119" spans="1:3" x14ac:dyDescent="0.25">
      <c r="A119" s="7">
        <v>6</v>
      </c>
      <c r="C119" s="14">
        <f t="shared" si="38"/>
        <v>6</v>
      </c>
    </row>
    <row r="120" spans="1:3" x14ac:dyDescent="0.25">
      <c r="A120" s="7">
        <v>7</v>
      </c>
      <c r="C120" s="14">
        <f t="shared" si="38"/>
        <v>7</v>
      </c>
    </row>
    <row r="121" spans="1:3" x14ac:dyDescent="0.25">
      <c r="A121" s="7">
        <v>8</v>
      </c>
      <c r="C121" s="14">
        <f t="shared" si="38"/>
        <v>8</v>
      </c>
    </row>
    <row r="123" spans="1:3" x14ac:dyDescent="0.25">
      <c r="B123" s="4" t="s">
        <v>116</v>
      </c>
      <c r="C123" s="4" t="s">
        <v>14</v>
      </c>
    </row>
    <row r="124" spans="1:3" x14ac:dyDescent="0.25">
      <c r="B124" s="14" t="s">
        <v>117</v>
      </c>
      <c r="C124" s="16">
        <f>N(C8)</f>
        <v>0</v>
      </c>
    </row>
    <row r="125" spans="1:3" x14ac:dyDescent="0.25">
      <c r="B125" s="14" t="s">
        <v>118</v>
      </c>
      <c r="C125" s="16">
        <f>N(D44)</f>
        <v>0</v>
      </c>
    </row>
    <row r="126" spans="1:3" x14ac:dyDescent="0.25">
      <c r="B126" s="14" t="s">
        <v>119</v>
      </c>
      <c r="C126" s="16">
        <f>N(C44)</f>
        <v>0</v>
      </c>
    </row>
    <row r="127" spans="1:3" x14ac:dyDescent="0.25">
      <c r="B127" s="14" t="s">
        <v>38</v>
      </c>
      <c r="C127" s="16">
        <f>N(C9)</f>
        <v>0</v>
      </c>
    </row>
    <row r="129" spans="2:3" x14ac:dyDescent="0.25">
      <c r="B129" s="4" t="s">
        <v>120</v>
      </c>
      <c r="C129" s="4" t="s">
        <v>14</v>
      </c>
    </row>
    <row r="130" spans="2:3" x14ac:dyDescent="0.25">
      <c r="B130" s="14" t="s">
        <v>121</v>
      </c>
      <c r="C130" s="14" t="str">
        <f>IF(C7="%","pp",IF(C7="","puntos",C7))</f>
        <v>puntos</v>
      </c>
    </row>
    <row r="131" spans="2:3" x14ac:dyDescent="0.25">
      <c r="B131" s="14" t="s">
        <v>122</v>
      </c>
      <c r="C131" s="14">
        <f>IF(C10="",IF(C6="Sube es mejor",100,0),C10)</f>
        <v>0</v>
      </c>
    </row>
    <row r="132" spans="2:3" x14ac:dyDescent="0.25">
      <c r="B132" s="14" t="s">
        <v>123</v>
      </c>
      <c r="C132" s="14">
        <f>IF(MAX(C22:H22)=0,0,MATCH(MAX(C22:H22),C22:H22,0))</f>
        <v>0</v>
      </c>
    </row>
    <row r="133" spans="2:3" x14ac:dyDescent="0.25">
      <c r="B133" s="14" t="s">
        <v>124</v>
      </c>
      <c r="C133" s="14" t="str">
        <f>IF(C132=0,"",INDEX(C17:H17,C132))</f>
        <v/>
      </c>
    </row>
  </sheetData>
  <sheetProtection sheet="1" objects="1" scenarios="1" formatCells="0" formatColumns="0" formatRows="0"/>
  <conditionalFormatting sqref="E6:E8">
    <cfRule type="containsText" dxfId="44" priority="1" stopIfTrue="1" operator="containsText" text="⚠">
      <formula>NOT(ISERROR(SEARCH("⚠",E6)))</formula>
    </cfRule>
    <cfRule type="containsText" dxfId="43" priority="2" stopIfTrue="1" operator="containsText" text="✔">
      <formula>NOT(ISERROR(SEARCH("✔",E6)))</formula>
    </cfRule>
  </conditionalFormatting>
  <conditionalFormatting sqref="C24">
    <cfRule type="containsText" dxfId="42" priority="3" stopIfTrue="1" operator="containsText" text="⚠">
      <formula>NOT(ISERROR(SEARCH("⚠",C24)))</formula>
    </cfRule>
    <cfRule type="containsText" dxfId="41" priority="4" stopIfTrue="1" operator="containsText" text="✔">
      <formula>NOT(ISERROR(SEARCH("✔",C24)))</formula>
    </cfRule>
  </conditionalFormatting>
  <conditionalFormatting sqref="N29:N36">
    <cfRule type="containsText" dxfId="40" priority="5" stopIfTrue="1" operator="containsText" text="⚠">
      <formula>NOT(ISERROR(SEARCH("⚠",N29)))</formula>
    </cfRule>
    <cfRule type="containsText" dxfId="39" priority="6" stopIfTrue="1" operator="containsText" text="✔">
      <formula>NOT(ISERROR(SEARCH("✔",N29)))</formula>
    </cfRule>
  </conditionalFormatting>
  <conditionalFormatting sqref="C37">
    <cfRule type="containsText" dxfId="38" priority="7" stopIfTrue="1" operator="containsText" text="⚠">
      <formula>NOT(ISERROR(SEARCH("⚠",C37)))</formula>
    </cfRule>
    <cfRule type="containsText" dxfId="37" priority="8" stopIfTrue="1" operator="containsText" text="✔">
      <formula>NOT(ISERROR(SEARCH("✔",C37)))</formula>
    </cfRule>
  </conditionalFormatting>
  <conditionalFormatting sqref="C43:D43">
    <cfRule type="containsText" dxfId="36" priority="9" stopIfTrue="1" operator="containsText" text="VERDE">
      <formula>NOT(ISERROR(SEARCH("VERDE",C43)))</formula>
    </cfRule>
    <cfRule type="containsText" dxfId="35" priority="10" stopIfTrue="1" operator="containsText" text="META CUMPLIDA">
      <formula>NOT(ISERROR(SEARCH("META CUMPLIDA",C43)))</formula>
    </cfRule>
    <cfRule type="containsText" dxfId="34" priority="11" stopIfTrue="1" operator="containsText" text="AMARILLO">
      <formula>NOT(ISERROR(SEARCH("AMARILLO",C43)))</formula>
    </cfRule>
    <cfRule type="containsText" dxfId="33" priority="12" stopIfTrue="1" operator="containsText" text="ROJO">
      <formula>NOT(ISERROR(SEARCH("ROJO",C43)))</formula>
    </cfRule>
  </conditionalFormatting>
  <conditionalFormatting sqref="C55:H55">
    <cfRule type="containsText" dxfId="32" priority="13" stopIfTrue="1" operator="containsText" text="⚠">
      <formula>NOT(ISERROR(SEARCH("⚠",C55)))</formula>
    </cfRule>
    <cfRule type="containsText" dxfId="31" priority="14" stopIfTrue="1" operator="containsText" text="✔">
      <formula>NOT(ISERROR(SEARCH("✔",C55)))</formula>
    </cfRule>
  </conditionalFormatting>
  <conditionalFormatting sqref="F58:F65">
    <cfRule type="containsText" dxfId="30" priority="15" stopIfTrue="1" operator="containsText" text="REEMPLAZAR">
      <formula>NOT(ISERROR(SEARCH("REEMPLAZAR",F58)))</formula>
    </cfRule>
    <cfRule type="containsText" dxfId="29" priority="16" stopIfTrue="1" operator="containsText" text="EN RIESGO">
      <formula>NOT(ISERROR(SEARCH("EN RIESGO",F58)))</formula>
    </cfRule>
    <cfRule type="containsText" dxfId="28" priority="17" stopIfTrue="1" operator="containsText" text="APORTA">
      <formula>NOT(ISERROR(SEARCH("APORTA",F58)))</formula>
    </cfRule>
  </conditionalFormatting>
  <conditionalFormatting sqref="F68:F75">
    <cfRule type="containsText" dxfId="27" priority="18" stopIfTrue="1" operator="containsText" text="REEMPLAZAR">
      <formula>NOT(ISERROR(SEARCH("REEMPLAZAR",F68)))</formula>
    </cfRule>
    <cfRule type="containsText" dxfId="26" priority="19" stopIfTrue="1" operator="containsText" text="EN RIESGO">
      <formula>NOT(ISERROR(SEARCH("EN RIESGO",F68)))</formula>
    </cfRule>
    <cfRule type="containsText" dxfId="25" priority="20" stopIfTrue="1" operator="containsText" text="APORTA">
      <formula>NOT(ISERROR(SEARCH("APORTA",F68)))</formula>
    </cfRule>
  </conditionalFormatting>
  <dataValidations count="4">
    <dataValidation type="whole" operator="greaterThanOrEqual" allowBlank="1" showInputMessage="1" showErrorMessage="1" errorTitle="Casos" error="Escribe un número entero mayor o igual a 0." sqref="C13" xr:uid="{21BE1331-8345-44C0-B0E9-0892D5953017}">
      <formula1>0</formula1>
    </dataValidation>
    <dataValidation type="whole" operator="greaterThanOrEqual" allowBlank="1" showInputMessage="1" showErrorMessage="1" errorTitle="Casos" error="Escribe un número entero mayor o igual a 0." sqref="C18:H18" xr:uid="{C41BF1BF-9674-4D75-8D7C-25B98860E3FC}">
      <formula1>0</formula1>
    </dataValidation>
    <dataValidation type="decimal" allowBlank="1" showInputMessage="1" showErrorMessage="1" errorTitle="Porcentaje" error="Escribe un porcentaje entre 0 % y 100 % (ej. 40 %)." sqref="C21:H21" xr:uid="{0C1DB5EE-4905-4AB3-9B8C-42E03ED44B15}">
      <formula1>0</formula1>
      <formula2>1</formula2>
    </dataValidation>
    <dataValidation type="decimal" allowBlank="1" showInputMessage="1" showErrorMessage="1" errorTitle="Porcentaje" error="Escribe un porcentaje entre 0 % y 100 % (ej. 40 %)." sqref="C29:I36" xr:uid="{5E37C835-C579-4086-80AB-9CF61C2F5772}">
      <formula1>0</formula1>
      <formula2>1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9DBD36B-480D-4D74-94AD-091236B09A6B}">
          <x14:formula1>
            <xm:f>Parametros!$B$19:$B$20</xm:f>
          </x14:formula1>
          <xm:sqref>C6</xm:sqref>
        </x14:dataValidation>
        <x14:dataValidation type="list" allowBlank="1" showInputMessage="1" showErrorMessage="1" xr:uid="{5628D8A2-F857-4C0C-8422-B3450077377A}">
          <x14:formula1>
            <xm:f>Parametros!$C$19:$C$21</xm:f>
          </x14:formula1>
          <xm:sqref>J29:J36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9AF6-E901-4169-8B82-59B6556F13C3}">
  <sheetPr>
    <tabColor rgb="FFA6A6A6"/>
  </sheetPr>
  <dimension ref="A1:D21"/>
  <sheetViews>
    <sheetView showGridLines="0" zoomScaleNormal="100" workbookViewId="0"/>
  </sheetViews>
  <sheetFormatPr baseColWidth="10" defaultRowHeight="13.2" x14ac:dyDescent="0.25"/>
  <cols>
    <col min="1" max="1" width="3.77734375" style="1" customWidth="1"/>
    <col min="2" max="2" width="40.77734375" style="1" customWidth="1"/>
    <col min="3" max="3" width="16.77734375" style="1" customWidth="1"/>
    <col min="4" max="4" width="90.77734375" style="1" customWidth="1"/>
    <col min="5" max="16384" width="11.5546875" style="1"/>
  </cols>
  <sheetData>
    <row r="1" spans="1:4" ht="21" x14ac:dyDescent="0.4">
      <c r="A1" s="2" t="s">
        <v>0</v>
      </c>
    </row>
    <row r="2" spans="1:4" x14ac:dyDescent="0.25">
      <c r="A2" s="1" t="s">
        <v>1</v>
      </c>
    </row>
    <row r="4" spans="1:4" ht="22.05" customHeight="1" x14ac:dyDescent="0.25">
      <c r="A4" s="3" t="s">
        <v>2</v>
      </c>
      <c r="B4" s="3"/>
      <c r="C4" s="3"/>
      <c r="D4" s="3"/>
    </row>
    <row r="5" spans="1:4" x14ac:dyDescent="0.25">
      <c r="B5" s="4" t="s">
        <v>3</v>
      </c>
      <c r="C5" s="4" t="s">
        <v>4</v>
      </c>
      <c r="D5" s="4" t="s">
        <v>5</v>
      </c>
    </row>
    <row r="6" spans="1:4" x14ac:dyDescent="0.25">
      <c r="B6" s="6">
        <v>0</v>
      </c>
      <c r="C6" s="5" t="s">
        <v>6</v>
      </c>
      <c r="D6" s="5" t="s">
        <v>7</v>
      </c>
    </row>
    <row r="7" spans="1:4" x14ac:dyDescent="0.25">
      <c r="B7" s="6">
        <v>0.7</v>
      </c>
      <c r="C7" s="5" t="s">
        <v>8</v>
      </c>
      <c r="D7" s="5" t="s">
        <v>9</v>
      </c>
    </row>
    <row r="8" spans="1:4" x14ac:dyDescent="0.25">
      <c r="B8" s="6">
        <v>1</v>
      </c>
      <c r="C8" s="5" t="s">
        <v>10</v>
      </c>
      <c r="D8" s="5" t="s">
        <v>11</v>
      </c>
    </row>
    <row r="10" spans="1:4" ht="22.05" customHeight="1" x14ac:dyDescent="0.25">
      <c r="A10" s="3" t="s">
        <v>12</v>
      </c>
      <c r="B10" s="3"/>
      <c r="C10" s="3"/>
      <c r="D10" s="3"/>
    </row>
    <row r="11" spans="1:4" x14ac:dyDescent="0.25">
      <c r="B11" s="4" t="s">
        <v>13</v>
      </c>
      <c r="C11" s="4" t="s">
        <v>14</v>
      </c>
      <c r="D11" s="4" t="s">
        <v>5</v>
      </c>
    </row>
    <row r="12" spans="1:4" x14ac:dyDescent="0.25">
      <c r="B12" s="5" t="s">
        <v>15</v>
      </c>
      <c r="C12" s="6">
        <v>0.05</v>
      </c>
      <c r="D12" s="5" t="s">
        <v>16</v>
      </c>
    </row>
    <row r="13" spans="1:4" x14ac:dyDescent="0.25">
      <c r="B13" s="5" t="s">
        <v>17</v>
      </c>
      <c r="C13" s="6">
        <v>0.2</v>
      </c>
      <c r="D13" s="5" t="s">
        <v>18</v>
      </c>
    </row>
    <row r="14" spans="1:4" x14ac:dyDescent="0.25">
      <c r="B14" s="5" t="s">
        <v>19</v>
      </c>
      <c r="C14" s="6">
        <v>0.3</v>
      </c>
      <c r="D14" s="5" t="s">
        <v>20</v>
      </c>
    </row>
    <row r="15" spans="1:4" x14ac:dyDescent="0.25">
      <c r="B15" s="5" t="s">
        <v>21</v>
      </c>
      <c r="C15" s="6">
        <v>0.99</v>
      </c>
      <c r="D15" s="5" t="s">
        <v>22</v>
      </c>
    </row>
    <row r="17" spans="1:4" ht="22.05" customHeight="1" x14ac:dyDescent="0.25">
      <c r="A17" s="3" t="s">
        <v>23</v>
      </c>
      <c r="B17" s="3"/>
      <c r="C17" s="3"/>
      <c r="D17" s="3"/>
    </row>
    <row r="18" spans="1:4" x14ac:dyDescent="0.25">
      <c r="B18" s="4" t="s">
        <v>24</v>
      </c>
      <c r="C18" s="4" t="s">
        <v>25</v>
      </c>
    </row>
    <row r="19" spans="1:4" x14ac:dyDescent="0.25">
      <c r="B19" s="5" t="s">
        <v>26</v>
      </c>
      <c r="C19" s="5" t="s">
        <v>28</v>
      </c>
    </row>
    <row r="20" spans="1:4" x14ac:dyDescent="0.25">
      <c r="B20" s="5" t="s">
        <v>27</v>
      </c>
      <c r="C20" s="5" t="s">
        <v>29</v>
      </c>
    </row>
    <row r="21" spans="1:4" x14ac:dyDescent="0.25">
      <c r="B21" s="5"/>
      <c r="C21" s="5" t="s">
        <v>30</v>
      </c>
    </row>
  </sheetData>
  <conditionalFormatting sqref="C6:C8">
    <cfRule type="containsText" dxfId="88" priority="1" stopIfTrue="1" operator="containsText" text="VERDE">
      <formula>NOT(ISERROR(SEARCH("VERDE",C6)))</formula>
    </cfRule>
    <cfRule type="containsText" dxfId="87" priority="2" stopIfTrue="1" operator="containsText" text="META CUMPLIDA">
      <formula>NOT(ISERROR(SEARCH("META CUMPLIDA",C6)))</formula>
    </cfRule>
    <cfRule type="containsText" dxfId="86" priority="3" stopIfTrue="1" operator="containsText" text="AMARILLO">
      <formula>NOT(ISERROR(SEARCH("AMARILLO",C6)))</formula>
    </cfRule>
    <cfRule type="containsText" dxfId="85" priority="4" stopIfTrue="1" operator="containsText" text="ROJO">
      <formula>NOT(ISERROR(SEARCH("ROJO",C6)))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Guia</vt:lpstr>
      <vt:lpstr>Resumen</vt:lpstr>
      <vt:lpstr>IND01_Churn</vt:lpstr>
      <vt:lpstr>IND02_Instalaciones</vt:lpstr>
      <vt:lpstr>IND_PLANTILLA</vt:lpstr>
      <vt:lpstr>Parametros</vt:lpstr>
      <vt:lpstr>Cobertura_Atrib_Min</vt:lpstr>
      <vt:lpstr>Cobertura_Resuelto_Min</vt:lpstr>
      <vt:lpstr>Semaforo_Color</vt:lpstr>
      <vt:lpstr>Semaforo_Desde</vt:lpstr>
      <vt:lpstr>Tope_Efectividad</vt:lpstr>
      <vt:lpstr>Umbral_Reemplazar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BARRETO</dc:creator>
  <cp:lastModifiedBy>BRIAN BARRETO</cp:lastModifiedBy>
  <dcterms:created xsi:type="dcterms:W3CDTF">2026-10-28T02:19:30Z</dcterms:created>
  <dcterms:modified xsi:type="dcterms:W3CDTF">2026-10-28T02:19:36Z</dcterms:modified>
</cp:coreProperties>
</file>